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loud" sheetId="2" state="visible" r:id="rId2"/>
    <sheet xmlns:r="http://schemas.openxmlformats.org/officeDocument/2006/relationships" name="LM Studio" sheetId="3" state="visible" r:id="rId3"/>
    <sheet xmlns:r="http://schemas.openxmlformats.org/officeDocument/2006/relationships" name="Minnow Hosting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Test guide" sheetId="6" state="visible" r:id="rId6"/>
  </sheets>
  <definedNames>
    <definedName name="_xlnm._FilterDatabase" localSheetId="1" hidden="1">'Cloud'!$A$3:$CA$45</definedName>
    <definedName name="_xlnm._FilterDatabase" localSheetId="2" hidden="1">'LM Studio'!$A$3:$CA$58</definedName>
    <definedName name="_xlnm._FilterDatabase" localSheetId="3" hidden="1">'Minnow Hosting'!$A$3:$CA$48</definedName>
    <definedName name="_xlnm._FilterDatabase" localSheetId="5" hidden="1">'Test guide'!$B$5:$E$72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1F2933"/>
      <sz val="14"/>
    </font>
    <font>
      <name val="Arial"/>
      <color rgb="006B7280"/>
      <sz val="10"/>
    </font>
    <font>
      <name val="Arial"/>
      <b val="1"/>
      <color rgb="00FFFFFF"/>
      <sz val="10"/>
    </font>
    <font>
      <name val="Arial"/>
      <color rgb="001F2933"/>
      <sz val="10"/>
    </font>
    <font>
      <name val="Arial"/>
      <b val="1"/>
      <color rgb="00FFFFFF"/>
      <sz val="9"/>
    </font>
    <font>
      <name val="Arial"/>
      <color rgb="001F2933"/>
      <sz val="11"/>
    </font>
    <font>
      <name val="Arial"/>
      <i val="1"/>
      <color rgb="008A5A00"/>
      <sz val="10"/>
    </font>
    <font>
      <name val="Arial"/>
      <b val="1"/>
      <color rgb="001F2933"/>
      <sz val="10"/>
    </font>
    <font>
      <name val="Arial"/>
      <b val="1"/>
      <color rgb="001F2933"/>
      <sz val="16"/>
    </font>
    <font>
      <name val="Arial"/>
      <b val="1"/>
      <color rgb="0017632A"/>
      <sz val="12"/>
    </font>
    <font>
      <name val="Arial"/>
      <b val="1"/>
      <color rgb="008A5A00"/>
      <sz val="12"/>
    </font>
    <font>
      <name val="Arial"/>
      <b val="1"/>
      <color rgb="009B1C1C"/>
      <sz val="12"/>
    </font>
    <font>
      <name val="Arial"/>
      <b val="1"/>
      <color rgb="006B7280"/>
      <sz val="12"/>
    </font>
    <font>
      <name val="Arial"/>
      <b val="1"/>
      <color rgb="001F2933"/>
      <sz val="12"/>
    </font>
    <font>
      <name val="Arial"/>
      <color rgb="006B7280"/>
      <sz val="9"/>
    </font>
    <font>
      <name val="Arial"/>
      <color rgb="00FFFFFF"/>
      <sz val="9"/>
    </font>
  </fonts>
  <fills count="24">
    <fill>
      <patternFill/>
    </fill>
    <fill>
      <patternFill patternType="gray125"/>
    </fill>
    <fill>
      <patternFill patternType="solid">
        <fgColor rgb="004B5563"/>
      </patternFill>
    </fill>
    <fill>
      <patternFill patternType="solid">
        <fgColor rgb="0024506E"/>
      </patternFill>
    </fill>
    <fill>
      <patternFill patternType="solid">
        <fgColor rgb="002F6B4F"/>
      </patternFill>
    </fill>
    <fill>
      <patternFill patternType="solid">
        <fgColor rgb="005B5470"/>
      </patternFill>
    </fill>
    <fill>
      <patternFill patternType="solid">
        <fgColor rgb="007A4A2A"/>
      </patternFill>
    </fill>
    <fill>
      <patternFill patternType="solid">
        <fgColor rgb="003A5A8C"/>
      </patternFill>
    </fill>
    <fill>
      <patternFill patternType="solid">
        <fgColor rgb="001F6B75"/>
      </patternFill>
    </fill>
    <fill>
      <patternFill patternType="solid">
        <fgColor rgb="006B2F62"/>
      </patternFill>
    </fill>
    <fill>
      <patternFill patternType="solid">
        <fgColor rgb="008A3B3B"/>
      </patternFill>
    </fill>
    <fill>
      <patternFill patternType="solid">
        <fgColor rgb="0040603A"/>
      </patternFill>
    </fill>
    <fill>
      <patternFill patternType="solid">
        <fgColor rgb="008A5A00"/>
      </patternFill>
    </fill>
    <fill>
      <patternFill patternType="solid">
        <fgColor rgb="004A4A6B"/>
      </patternFill>
    </fill>
    <fill>
      <patternFill patternType="solid">
        <fgColor rgb="002B4A7A"/>
      </patternFill>
    </fill>
    <fill>
      <patternFill patternType="solid">
        <fgColor rgb="003F6B63"/>
      </patternFill>
    </fill>
    <fill>
      <patternFill patternType="solid">
        <fgColor rgb="001F2933"/>
      </patternFill>
    </fill>
    <fill>
      <patternFill patternType="solid">
        <fgColor rgb="00FFF8E1"/>
      </patternFill>
    </fill>
    <fill>
      <patternFill patternType="solid">
        <fgColor rgb="00EEF2F6"/>
      </patternFill>
    </fill>
    <fill>
      <patternFill patternType="solid">
        <fgColor rgb="00D6F0DA"/>
      </patternFill>
    </fill>
    <fill>
      <patternFill patternType="solid">
        <fgColor rgb="00FDF0CE"/>
      </patternFill>
    </fill>
    <fill>
      <patternFill patternType="solid">
        <fgColor rgb="00FADCDC"/>
      </patternFill>
    </fill>
    <fill>
      <patternFill patternType="solid">
        <fgColor rgb="00ECEE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9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10" fillId="19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center" vertical="center"/>
    </xf>
    <xf numFmtId="0" fontId="12" fillId="21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14" fillId="2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5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left" vertical="bottom" wrapText="1"/>
    </xf>
    <xf numFmtId="0" fontId="5" fillId="3" borderId="1" applyAlignment="1" pivotButton="0" quotePrefix="0" xfId="0">
      <alignment horizontal="center" vertical="bottom" textRotation="90" wrapText="1"/>
    </xf>
    <xf numFmtId="0" fontId="5" fillId="4" borderId="1" applyAlignment="1" pivotButton="0" quotePrefix="0" xfId="0">
      <alignment horizontal="center" vertical="bottom" textRotation="90" wrapText="1"/>
    </xf>
    <xf numFmtId="0" fontId="5" fillId="5" borderId="1" applyAlignment="1" pivotButton="0" quotePrefix="0" xfId="0">
      <alignment horizontal="center" vertical="bottom" textRotation="90" wrapText="1"/>
    </xf>
    <xf numFmtId="0" fontId="5" fillId="6" borderId="1" applyAlignment="1" pivotButton="0" quotePrefix="0" xfId="0">
      <alignment horizontal="center" vertical="bottom" textRotation="90" wrapText="1"/>
    </xf>
    <xf numFmtId="0" fontId="5" fillId="7" borderId="1" applyAlignment="1" pivotButton="0" quotePrefix="0" xfId="0">
      <alignment horizontal="center" vertical="bottom" textRotation="90" wrapText="1"/>
    </xf>
    <xf numFmtId="0" fontId="5" fillId="8" borderId="1" applyAlignment="1" pivotButton="0" quotePrefix="0" xfId="0">
      <alignment horizontal="center" vertical="bottom" textRotation="90" wrapText="1"/>
    </xf>
    <xf numFmtId="0" fontId="5" fillId="9" borderId="1" applyAlignment="1" pivotButton="0" quotePrefix="0" xfId="0">
      <alignment horizontal="center" vertical="bottom" textRotation="90" wrapText="1"/>
    </xf>
    <xf numFmtId="0" fontId="5" fillId="10" borderId="1" applyAlignment="1" pivotButton="0" quotePrefix="0" xfId="0">
      <alignment horizontal="center" vertical="bottom" textRotation="90" wrapText="1"/>
    </xf>
    <xf numFmtId="0" fontId="5" fillId="11" borderId="1" applyAlignment="1" pivotButton="0" quotePrefix="0" xfId="0">
      <alignment horizontal="center" vertical="bottom" textRotation="90" wrapText="1"/>
    </xf>
    <xf numFmtId="0" fontId="5" fillId="12" borderId="1" applyAlignment="1" pivotButton="0" quotePrefix="0" xfId="0">
      <alignment horizontal="center" vertical="bottom" textRotation="90" wrapText="1"/>
    </xf>
    <xf numFmtId="0" fontId="5" fillId="13" borderId="1" applyAlignment="1" pivotButton="0" quotePrefix="0" xfId="0">
      <alignment horizontal="center" vertical="bottom" textRotation="90" wrapText="1"/>
    </xf>
    <xf numFmtId="0" fontId="5" fillId="14" borderId="1" applyAlignment="1" pivotButton="0" quotePrefix="0" xfId="0">
      <alignment horizontal="center" vertical="bottom" textRotation="90" wrapText="1"/>
    </xf>
    <xf numFmtId="0" fontId="5" fillId="15" borderId="1" applyAlignment="1" pivotButton="0" quotePrefix="0" xfId="0">
      <alignment horizontal="center" vertical="bottom" textRotation="90" wrapText="1"/>
    </xf>
    <xf numFmtId="0" fontId="7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9" fontId="4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left" vertical="top" wrapText="1"/>
    </xf>
    <xf numFmtId="0" fontId="8" fillId="1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0" fontId="8" fillId="18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16" fillId="3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16" fillId="4" borderId="1" applyAlignment="1" pivotButton="0" quotePrefix="0" xfId="0">
      <alignment horizontal="left" vertical="top"/>
    </xf>
    <xf numFmtId="0" fontId="16" fillId="5" borderId="1" applyAlignment="1" pivotButton="0" quotePrefix="0" xfId="0">
      <alignment horizontal="left" vertical="top"/>
    </xf>
    <xf numFmtId="0" fontId="16" fillId="6" borderId="1" applyAlignment="1" pivotButton="0" quotePrefix="0" xfId="0">
      <alignment horizontal="left" vertical="top"/>
    </xf>
    <xf numFmtId="0" fontId="16" fillId="7" borderId="1" applyAlignment="1" pivotButton="0" quotePrefix="0" xfId="0">
      <alignment horizontal="left" vertical="top"/>
    </xf>
    <xf numFmtId="0" fontId="16" fillId="8" borderId="1" applyAlignment="1" pivotButton="0" quotePrefix="0" xfId="0">
      <alignment horizontal="left" vertical="top"/>
    </xf>
    <xf numFmtId="0" fontId="16" fillId="9" borderId="1" applyAlignment="1" pivotButton="0" quotePrefix="0" xfId="0">
      <alignment horizontal="left" vertical="top"/>
    </xf>
    <xf numFmtId="0" fontId="16" fillId="10" borderId="1" applyAlignment="1" pivotButton="0" quotePrefix="0" xfId="0">
      <alignment horizontal="left" vertical="top"/>
    </xf>
    <xf numFmtId="0" fontId="16" fillId="11" borderId="1" applyAlignment="1" pivotButton="0" quotePrefix="0" xfId="0">
      <alignment horizontal="left" vertical="top"/>
    </xf>
    <xf numFmtId="0" fontId="16" fillId="12" borderId="1" applyAlignment="1" pivotButton="0" quotePrefix="0" xfId="0">
      <alignment horizontal="left" vertical="top"/>
    </xf>
    <xf numFmtId="0" fontId="16" fillId="13" borderId="1" applyAlignment="1" pivotButton="0" quotePrefix="0" xfId="0">
      <alignment horizontal="left" vertical="top"/>
    </xf>
    <xf numFmtId="0" fontId="16" fillId="14" borderId="1" applyAlignment="1" pivotButton="0" quotePrefix="0" xfId="0">
      <alignment horizontal="left" vertical="top"/>
    </xf>
    <xf numFmtId="0" fontId="16" fillId="15" borderId="1" applyAlignment="1" pivotButton="0" quotePrefix="0" xfId="0">
      <alignment horizontal="left" vertical="top"/>
    </xf>
  </cellXfs>
  <cellStyles count="1">
    <cellStyle name="Normal" xfId="0" builtinId="0" hidden="0"/>
  </cellStyles>
  <dxfs count="8">
    <dxf>
      <font>
        <name val="Arial"/>
        <color rgb="0017632A"/>
        <sz val="11"/>
      </font>
      <fill>
        <patternFill patternType="solid">
          <fgColor rgb="00D6F0DA"/>
          <bgColor rgb="00D6F0DA"/>
        </patternFill>
      </fill>
    </dxf>
    <dxf>
      <font>
        <name val="Arial"/>
        <color rgb="008A5A00"/>
        <sz val="11"/>
      </font>
      <fill>
        <patternFill patternType="solid">
          <fgColor rgb="00FDF0CE"/>
          <bgColor rgb="00FDF0CE"/>
        </patternFill>
      </fill>
    </dxf>
    <dxf>
      <font>
        <name val="Arial"/>
        <color rgb="009B1C1C"/>
        <sz val="11"/>
      </font>
      <fill>
        <patternFill patternType="solid">
          <fgColor rgb="00FADCDC"/>
          <bgColor rgb="00FADCDC"/>
        </patternFill>
      </fill>
    </dxf>
    <dxf>
      <font>
        <name val="Arial"/>
        <color rgb="006B7280"/>
        <sz val="11"/>
      </font>
      <fill>
        <patternFill patternType="solid">
          <fgColor rgb="00ECEEF1"/>
          <bgColor rgb="00ECEEF1"/>
        </patternFill>
      </fill>
    </dxf>
    <dxf>
      <font>
        <name val="Arial"/>
        <b val="1"/>
        <color rgb="0017632A"/>
        <sz val="10"/>
      </font>
      <fill>
        <patternFill patternType="solid">
          <fgColor rgb="00D6F0DA"/>
          <bgColor rgb="00D6F0DA"/>
        </patternFill>
      </fill>
    </dxf>
    <dxf>
      <font>
        <name val="Arial"/>
        <b val="1"/>
        <color rgb="008A5A00"/>
        <sz val="10"/>
      </font>
      <fill>
        <patternFill patternType="solid">
          <fgColor rgb="00FDF0CE"/>
          <bgColor rgb="00FDF0CE"/>
        </patternFill>
      </fill>
    </dxf>
    <dxf>
      <font>
        <name val="Arial"/>
        <b val="1"/>
        <color rgb="009B1C1C"/>
        <sz val="10"/>
      </font>
      <fill>
        <patternFill patternType="solid">
          <fgColor rgb="00FADCDC"/>
          <bgColor rgb="00FADCDC"/>
        </patternFill>
      </fill>
    </dxf>
    <dxf>
      <font>
        <name val="Arial"/>
        <b val="1"/>
        <color rgb="006B7280"/>
        <sz val="10"/>
      </font>
      <fill>
        <patternFill patternType="solid">
          <fgColor rgb="00ECEEF1"/>
          <bgColor rgb="00ECEE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Minnow</author>
  </authors>
  <commentList>
    <comment ref="K3" authorId="0" shapeId="0">
      <text>
        <t>Tier 1
How to test:
Ask for a 200-word answer. Tokens must stream, not arrive in one block.</t>
      </text>
    </comment>
    <comment ref="L3" authorId="0" shapeId="0">
      <text>
        <t>Tier 1
How to test:
Ask 'what time is it?' -&gt; must emit a get_datetime tool call, not prose.</t>
      </text>
    </comment>
    <comment ref="M3" authorId="0" shapeId="0">
      <text>
        <t>Tier 2
How to test:
Ask to read three named files at once. Does it emit 3 calls in one batch, or serialise?</t>
      </text>
    </comment>
    <comment ref="N3" authorId="0" shapeId="0">
      <text>
        <t>Tier 1
How to test:
Ask a task needing 4+ chained calls (grep -&gt; read -&gt; edit -&gt; verify). Does it keep going after each result?</t>
      </text>
    </comment>
    <comment ref="O3" authorId="0" shapeId="0">
      <text>
        <t>Tier 1
How to test:
Watch the tool console for parse failures, trailing commas, stringified objects, missing required args.</t>
      </text>
    </comment>
    <comment ref="P3" authorId="0" shapeId="0">
      <text>
        <t>Tier 1
How to test:
Does it ever invent a tool name that is not in the catalog, or call a tool disabled in this mode?</t>
      </text>
    </comment>
    <comment ref="Q3" authorId="0" shapeId="0">
      <text>
        <t>Tier 1
How to test:
Does it follow the mode prompt (no preamble, correct output shape, respects guardrails)?</t>
      </text>
    </comment>
    <comment ref="R3" authorId="0" shapeId="0">
      <text>
        <t>Tier 2
How to test:
Load a big file / long chat, then ask about something from the start. Check for silent truncation.</t>
      </text>
    </comment>
    <comment ref="S3" authorId="0" shapeId="0">
      <text>
        <t>Tier 3
How to test:
Paste a screenshot and ask what is in it.</t>
      </text>
    </comment>
    <comment ref="T3" authorId="0" shapeId="0">
      <text>
        <t>Tier 3
How to test:
Does the thinking block parse and render, without leaking into the visible answer or breaking tool calls?</t>
      </text>
    </comment>
    <comment ref="U3" authorId="0" shapeId="0">
      <text>
        <t>Tier 1
How to test:
'List the files in src and read package.json.'</t>
      </text>
    </comment>
    <comment ref="V3" authorId="0" shapeId="0">
      <text>
        <t>Tier 3
How to test:
Point it at a PDF/DOCX in the workspace and ask for a summary.</t>
      </text>
    </comment>
    <comment ref="W3" authorId="0" shapeId="0">
      <text>
        <t>Tier 1
How to test:
'Create notes.md with three bullets, then append a fourth.'</t>
      </text>
    </comment>
    <comment ref="X3" authorId="0" shapeId="0">
      <text>
        <t>Tier 1
How to test:
Ask for a precise edit. The old_string must match exactly - this is where weak models fail hardest.</t>
      </text>
    </comment>
    <comment ref="Y3" authorId="0" shapeId="0">
      <text>
        <t>Tier 2
How to test:
'Read lines 40-60 of X, then insert a comment at line 41.'</t>
      </text>
    </comment>
    <comment ref="Z3" authorId="0" shapeId="0">
      <text>
        <t>Tier 1
How to test:
'Find every file that mentions BUILT_IN_TOOLS.'</t>
      </text>
    </comment>
    <comment ref="AA3" authorId="0" shapeId="0">
      <text>
        <t>Tier 3
How to test:
'Make me a spreadsheet of the last 5 commits.' Check the file actually opens.</t>
      </text>
    </comment>
    <comment ref="AB3" authorId="0" shapeId="0">
      <text>
        <t>Tier 1
How to test:
'What has changed on this branch?'</t>
      </text>
    </comment>
    <comment ref="AC3" authorId="0" shapeId="0">
      <text>
        <t>Tier 2
How to test:
'Commit the current changes on a new branch.' Check the message quality and that it does not force anything.</t>
      </text>
    </comment>
    <comment ref="AD3" authorId="0" shapeId="0">
      <text>
        <t>Tier 1
How to test:
'Run npm run typecheck and tell me what broke.'</t>
      </text>
    </comment>
    <comment ref="AE3" authorId="0" shapeId="0">
      <text>
        <t>Tier 2
How to test:
'Start the dev server and tell me when it is listening.'</t>
      </text>
    </comment>
    <comment ref="AF3" authorId="0" shapeId="0">
      <text>
        <t>Tier 2
How to test:
'Work out the mean of these 20 numbers with run_python.'</t>
      </text>
    </comment>
    <comment ref="AG3" authorId="0" shapeId="0">
      <text>
        <t>Tier 2
How to test:
After a long command: 'What is it printing? Now stop it.'</t>
      </text>
    </comment>
    <comment ref="AH3" authorId="0" shapeId="0">
      <text>
        <t>Tier 2
How to test:
'Where is formatCapabilityBadges defined and who calls it?'</t>
      </text>
    </comment>
    <comment ref="AI3" authorId="0" shapeId="0">
      <text>
        <t>Tier 3
How to test:
Break a type on purpose, then: 'Any diagnostics in this file?'</t>
      </text>
    </comment>
    <comment ref="AJ3" authorId="0" shapeId="0">
      <text>
        <t>Tier 1
How to test:
'Search the web for the latest llama.cpp release.'</t>
      </text>
    </comment>
    <comment ref="AK3" authorId="0" shapeId="0">
      <text>
        <t>Tier 2
How to test:
Give it a URL and ask for a summary of that page.</t>
      </text>
    </comment>
    <comment ref="AL3" authorId="0" shapeId="0">
      <text>
        <t>Tier 3
How to test:
'Look up the Mariana Trench on Wikipedia.'</t>
      </text>
    </comment>
    <comment ref="AM3" authorId="0" shapeId="0">
      <text>
        <t>Tier 2
How to test:
'Open example.com in a new tab, then list my tabs.'</t>
      </text>
    </comment>
    <comment ref="AN3" authorId="0" shapeId="0">
      <text>
        <t>Tier 2
How to test:
'Snapshot the page, fill the search box with foo and submit.' Does it use the returned refs correctly?</t>
      </text>
    </comment>
    <comment ref="AO3" authorId="0" shapeId="0">
      <text>
        <t>Tier 3
How to test:
'Screenshot the page and tell me the computed background colour.'</t>
      </text>
    </comment>
    <comment ref="AP3" authorId="0" shapeId="0">
      <text>
        <t>Tier 1
How to test:
Give a 5-step task. Does it build a todo list and keep it current, or write it once and forget?</t>
      </text>
    </comment>
    <comment ref="AQ3" authorId="0" shapeId="0">
      <text>
        <t>Tier 2
How to test:
'Spawn a sub-agent to audit src/tools and report back.'</t>
      </text>
    </comment>
    <comment ref="AR3" authorId="0" shapeId="0">
      <text>
        <t>Tier 3
How to test:
While one is running: 'What are my sub-agents doing? Cancel it.'</t>
      </text>
    </comment>
    <comment ref="AS3" authorId="0" shapeId="0">
      <text>
        <t>Tier 2
How to test:
Give three independent chunks of work and ask it to fan them out.</t>
      </text>
    </comment>
    <comment ref="AT3" authorId="0" shapeId="0">
      <text>
        <t>Tier 2
How to test:
In Orchestrate mode: does it seed the board and keep task states moving?</t>
      </text>
    </comment>
    <comment ref="AU3" authorId="0" shapeId="0">
      <text>
        <t>Tier 2
How to test:
Does the worker report back on completion instead of going quiet? (known weak spot)</t>
      </text>
    </comment>
    <comment ref="AV3" authorId="0" shapeId="0">
      <text>
        <t>Tier 3
How to test:
'Log an issue for this bug, then link it to the previous one.'</t>
      </text>
    </comment>
    <comment ref="AW3" authorId="0" shapeId="0">
      <text>
        <t>Tier 2
How to test:
'What does the Brain say about the session engine?'</t>
      </text>
    </comment>
    <comment ref="AX3" authorId="0" shapeId="0">
      <text>
        <t>Tier 3
How to test:
'Write what we just learned to a Brain page.'</t>
      </text>
    </comment>
    <comment ref="AY3" authorId="0" shapeId="0">
      <text>
        <t>Tier 3
How to test:
'How do Minnow modes work? Check the docs.'</t>
      </text>
    </comment>
    <comment ref="AZ3" authorId="0" shapeId="0">
      <text>
        <t>Tier 2
How to test:
'Remember that I always want tests run before commits.'</t>
      </text>
    </comment>
    <comment ref="BA3" authorId="0" shapeId="0">
      <text>
        <t>Tier 2
How to test:
Deep into a long chat: 'What did I ask you in the third message?'</t>
      </text>
    </comment>
    <comment ref="BB3" authorId="0" shapeId="0">
      <text>
        <t>Tier 3
How to test:
'Show me unread mail from this week.'</t>
      </text>
    </comment>
    <comment ref="BC3" authorId="0" shapeId="0">
      <text>
        <t>Tier 3
How to test:
'Draft a reply to the top thread.' Must draft, never send.</t>
      </text>
    </comment>
    <comment ref="BD3" authorId="0" shapeId="0">
      <text>
        <t>Tier 3
How to test:
'Summarise my inbox and give me three reply options.'</t>
      </text>
    </comment>
    <comment ref="BE3" authorId="0" shapeId="0">
      <text>
        <t>Tier 3
How to test:
'What is on my calendar tomorrow?'</t>
      </text>
    </comment>
    <comment ref="BF3" authorId="0" shapeId="0">
      <text>
        <t>Tier 3
How to test:
'Switch me to the dark theme and raise the font size.'</t>
      </text>
    </comment>
    <comment ref="BG3" authorId="0" shapeId="0">
      <text>
        <t>Tier 2
How to test:
'This is turning into a build job - switch modes.'</t>
      </text>
    </comment>
    <comment ref="BH3" authorId="0" shapeId="0">
      <text>
        <t>Tier 3
How to test:
'Open a new Plan chat about the release.'</t>
      </text>
    </comment>
    <comment ref="BI3" authorId="0" shapeId="0">
      <text>
        <t>Tier 3
How to test:
'Make this page look better' - does it load the Impeccable context first?</t>
      </text>
    </comment>
    <comment ref="BJ3" authorId="0" shapeId="0">
      <text>
        <t>Tier 1
How to test:
Plain chat. Sane answers, correct formatting, no runaway loops.</t>
      </text>
    </comment>
    <comment ref="BK3" authorId="0" shapeId="0">
      <text>
        <t>Tier 1
How to test:
A real multi-file code change, start to finish.</t>
      </text>
    </comment>
    <comment ref="BL3" authorId="0" shapeId="0">
      <text>
        <t>Tier 1
How to test:
Ask for a plan. Does it respect the plan-write guard and not start editing?</t>
      </text>
    </comment>
    <comment ref="BM3" authorId="0" shapeId="0">
      <text>
        <t>Tier 2
How to test:
Run the full pipeline. Do all stages advance, and do pause/resume/retry/rewind survive?</t>
      </text>
    </comment>
    <comment ref="BN3" authorId="0" shapeId="0">
      <text>
        <t>Tier 2
How to test:
Board-driven multi-agent run. Watch for silent stalls and missed completion reports.</t>
      </text>
    </comment>
    <comment ref="BO3" authorId="0" shapeId="0">
      <text>
        <t>Tier 2
How to test:
Hand it a failing test and let it work the loop.</t>
      </text>
    </comment>
    <comment ref="BP3" authorId="0" shapeId="0">
      <text>
        <t>Tier 3
How to test:
OS-level task via the desktop tools.</t>
      </text>
    </comment>
    <comment ref="BQ3" authorId="0" shapeId="0">
      <text>
        <t>Tier 3
How to test:
Full email triage session.</t>
      </text>
    </comment>
    <comment ref="BR3" authorId="0" shapeId="0">
      <text>
        <t>Tier 3
How to test:
Run the onboarding guide chat end to end.</t>
      </text>
    </comment>
    <comment ref="BS3" authorId="0" shapeId="0">
      <text>
        <t>Tier 2
How to test:
Kick off a research run and check the sources and the write-up.</t>
      </text>
    </comment>
    <comment ref="BT3" authorId="0" shapeId="0">
      <text>
        <t>Tier 3
How to test:
Run this model inside a Compare session against another.</t>
      </text>
    </comment>
    <comment ref="BU3" authorId="0" shapeId="0">
      <text>
        <t>Tier 2
How to test:
Does it title new chats sensibly, or emit JSON/preamble into the title?</t>
      </text>
    </comment>
    <comment ref="BV3" authorId="0" shapeId="0">
      <text>
        <t>Tier 2
How to test:
Invoke a skill and confirm it loads and is followed.</t>
      </text>
    </comment>
    <comment ref="BW3" authorId="0" shapeId="0">
      <text>
        <t>Tier 2
How to test:
Connect an MCP server and call one of its tools.</t>
      </text>
    </comment>
    <comment ref="BX3" authorId="0" shapeId="0">
      <text>
        <t>Tier 3
How to test:
Dictate a request and check the round trip.</t>
      </text>
    </comment>
    <comment ref="BY3" authorId="0" shapeId="0">
      <text>
        <t>Tier 1
How to test:
Are fences closed, languages tagged, tables well formed? Do file paths render as links?</t>
      </text>
    </comment>
  </commentList>
</comments>
</file>

<file path=xl/comments/comment2.xml><?xml version="1.0" encoding="utf-8"?>
<comments xmlns="http://schemas.openxmlformats.org/spreadsheetml/2006/main">
  <authors>
    <author>Minnow</author>
  </authors>
  <commentList>
    <comment ref="K3" authorId="0" shapeId="0">
      <text>
        <t>Tier 1
How to test:
Ask for a 200-word answer. Tokens must stream, not arrive in one block.</t>
      </text>
    </comment>
    <comment ref="L3" authorId="0" shapeId="0">
      <text>
        <t>Tier 1
How to test:
Ask 'what time is it?' -&gt; must emit a get_datetime tool call, not prose.</t>
      </text>
    </comment>
    <comment ref="M3" authorId="0" shapeId="0">
      <text>
        <t>Tier 2
How to test:
Ask to read three named files at once. Does it emit 3 calls in one batch, or serialise?</t>
      </text>
    </comment>
    <comment ref="N3" authorId="0" shapeId="0">
      <text>
        <t>Tier 1
How to test:
Ask a task needing 4+ chained calls (grep -&gt; read -&gt; edit -&gt; verify). Does it keep going after each result?</t>
      </text>
    </comment>
    <comment ref="O3" authorId="0" shapeId="0">
      <text>
        <t>Tier 1
How to test:
Watch the tool console for parse failures, trailing commas, stringified objects, missing required args.</t>
      </text>
    </comment>
    <comment ref="P3" authorId="0" shapeId="0">
      <text>
        <t>Tier 1
How to test:
Does it ever invent a tool name that is not in the catalog, or call a tool disabled in this mode?</t>
      </text>
    </comment>
    <comment ref="Q3" authorId="0" shapeId="0">
      <text>
        <t>Tier 1
How to test:
Does it follow the mode prompt (no preamble, correct output shape, respects guardrails)?</t>
      </text>
    </comment>
    <comment ref="R3" authorId="0" shapeId="0">
      <text>
        <t>Tier 2
How to test:
Load a big file / long chat, then ask about something from the start. Check for silent truncation.</t>
      </text>
    </comment>
    <comment ref="S3" authorId="0" shapeId="0">
      <text>
        <t>Tier 3
How to test:
Paste a screenshot and ask what is in it.</t>
      </text>
    </comment>
    <comment ref="T3" authorId="0" shapeId="0">
      <text>
        <t>Tier 3
How to test:
Does the thinking block parse and render, without leaking into the visible answer or breaking tool calls?</t>
      </text>
    </comment>
    <comment ref="U3" authorId="0" shapeId="0">
      <text>
        <t>Tier 1
How to test:
'List the files in src and read package.json.'</t>
      </text>
    </comment>
    <comment ref="V3" authorId="0" shapeId="0">
      <text>
        <t>Tier 3
How to test:
Point it at a PDF/DOCX in the workspace and ask for a summary.</t>
      </text>
    </comment>
    <comment ref="W3" authorId="0" shapeId="0">
      <text>
        <t>Tier 1
How to test:
'Create notes.md with three bullets, then append a fourth.'</t>
      </text>
    </comment>
    <comment ref="X3" authorId="0" shapeId="0">
      <text>
        <t>Tier 1
How to test:
Ask for a precise edit. The old_string must match exactly - this is where weak models fail hardest.</t>
      </text>
    </comment>
    <comment ref="Y3" authorId="0" shapeId="0">
      <text>
        <t>Tier 2
How to test:
'Read lines 40-60 of X, then insert a comment at line 41.'</t>
      </text>
    </comment>
    <comment ref="Z3" authorId="0" shapeId="0">
      <text>
        <t>Tier 1
How to test:
'Find every file that mentions BUILT_IN_TOOLS.'</t>
      </text>
    </comment>
    <comment ref="AA3" authorId="0" shapeId="0">
      <text>
        <t>Tier 3
How to test:
'Make me a spreadsheet of the last 5 commits.' Check the file actually opens.</t>
      </text>
    </comment>
    <comment ref="AB3" authorId="0" shapeId="0">
      <text>
        <t>Tier 1
How to test:
'What has changed on this branch?'</t>
      </text>
    </comment>
    <comment ref="AC3" authorId="0" shapeId="0">
      <text>
        <t>Tier 2
How to test:
'Commit the current changes on a new branch.' Check the message quality and that it does not force anything.</t>
      </text>
    </comment>
    <comment ref="AD3" authorId="0" shapeId="0">
      <text>
        <t>Tier 1
How to test:
'Run npm run typecheck and tell me what broke.'</t>
      </text>
    </comment>
    <comment ref="AE3" authorId="0" shapeId="0">
      <text>
        <t>Tier 2
How to test:
'Start the dev server and tell me when it is listening.'</t>
      </text>
    </comment>
    <comment ref="AF3" authorId="0" shapeId="0">
      <text>
        <t>Tier 2
How to test:
'Work out the mean of these 20 numbers with run_python.'</t>
      </text>
    </comment>
    <comment ref="AG3" authorId="0" shapeId="0">
      <text>
        <t>Tier 2
How to test:
After a long command: 'What is it printing? Now stop it.'</t>
      </text>
    </comment>
    <comment ref="AH3" authorId="0" shapeId="0">
      <text>
        <t>Tier 2
How to test:
'Where is formatCapabilityBadges defined and who calls it?'</t>
      </text>
    </comment>
    <comment ref="AI3" authorId="0" shapeId="0">
      <text>
        <t>Tier 3
How to test:
Break a type on purpose, then: 'Any diagnostics in this file?'</t>
      </text>
    </comment>
    <comment ref="AJ3" authorId="0" shapeId="0">
      <text>
        <t>Tier 1
How to test:
'Search the web for the latest llama.cpp release.'</t>
      </text>
    </comment>
    <comment ref="AK3" authorId="0" shapeId="0">
      <text>
        <t>Tier 2
How to test:
Give it a URL and ask for a summary of that page.</t>
      </text>
    </comment>
    <comment ref="AL3" authorId="0" shapeId="0">
      <text>
        <t>Tier 3
How to test:
'Look up the Mariana Trench on Wikipedia.'</t>
      </text>
    </comment>
    <comment ref="AM3" authorId="0" shapeId="0">
      <text>
        <t>Tier 2
How to test:
'Open example.com in a new tab, then list my tabs.'</t>
      </text>
    </comment>
    <comment ref="AN3" authorId="0" shapeId="0">
      <text>
        <t>Tier 2
How to test:
'Snapshot the page, fill the search box with foo and submit.' Does it use the returned refs correctly?</t>
      </text>
    </comment>
    <comment ref="AO3" authorId="0" shapeId="0">
      <text>
        <t>Tier 3
How to test:
'Screenshot the page and tell me the computed background colour.'</t>
      </text>
    </comment>
    <comment ref="AP3" authorId="0" shapeId="0">
      <text>
        <t>Tier 1
How to test:
Give a 5-step task. Does it build a todo list and keep it current, or write it once and forget?</t>
      </text>
    </comment>
    <comment ref="AQ3" authorId="0" shapeId="0">
      <text>
        <t>Tier 2
How to test:
'Spawn a sub-agent to audit src/tools and report back.'</t>
      </text>
    </comment>
    <comment ref="AR3" authorId="0" shapeId="0">
      <text>
        <t>Tier 3
How to test:
While one is running: 'What are my sub-agents doing? Cancel it.'</t>
      </text>
    </comment>
    <comment ref="AS3" authorId="0" shapeId="0">
      <text>
        <t>Tier 2
How to test:
Give three independent chunks of work and ask it to fan them out.</t>
      </text>
    </comment>
    <comment ref="AT3" authorId="0" shapeId="0">
      <text>
        <t>Tier 2
How to test:
In Orchestrate mode: does it seed the board and keep task states moving?</t>
      </text>
    </comment>
    <comment ref="AU3" authorId="0" shapeId="0">
      <text>
        <t>Tier 2
How to test:
Does the worker report back on completion instead of going quiet? (known weak spot)</t>
      </text>
    </comment>
    <comment ref="AV3" authorId="0" shapeId="0">
      <text>
        <t>Tier 3
How to test:
'Log an issue for this bug, then link it to the previous one.'</t>
      </text>
    </comment>
    <comment ref="AW3" authorId="0" shapeId="0">
      <text>
        <t>Tier 2
How to test:
'What does the Brain say about the session engine?'</t>
      </text>
    </comment>
    <comment ref="AX3" authorId="0" shapeId="0">
      <text>
        <t>Tier 3
How to test:
'Write what we just learned to a Brain page.'</t>
      </text>
    </comment>
    <comment ref="AY3" authorId="0" shapeId="0">
      <text>
        <t>Tier 3
How to test:
'How do Minnow modes work? Check the docs.'</t>
      </text>
    </comment>
    <comment ref="AZ3" authorId="0" shapeId="0">
      <text>
        <t>Tier 2
How to test:
'Remember that I always want tests run before commits.'</t>
      </text>
    </comment>
    <comment ref="BA3" authorId="0" shapeId="0">
      <text>
        <t>Tier 2
How to test:
Deep into a long chat: 'What did I ask you in the third message?'</t>
      </text>
    </comment>
    <comment ref="BB3" authorId="0" shapeId="0">
      <text>
        <t>Tier 3
How to test:
'Show me unread mail from this week.'</t>
      </text>
    </comment>
    <comment ref="BC3" authorId="0" shapeId="0">
      <text>
        <t>Tier 3
How to test:
'Draft a reply to the top thread.' Must draft, never send.</t>
      </text>
    </comment>
    <comment ref="BD3" authorId="0" shapeId="0">
      <text>
        <t>Tier 3
How to test:
'Summarise my inbox and give me three reply options.'</t>
      </text>
    </comment>
    <comment ref="BE3" authorId="0" shapeId="0">
      <text>
        <t>Tier 3
How to test:
'What is on my calendar tomorrow?'</t>
      </text>
    </comment>
    <comment ref="BF3" authorId="0" shapeId="0">
      <text>
        <t>Tier 3
How to test:
'Switch me to the dark theme and raise the font size.'</t>
      </text>
    </comment>
    <comment ref="BG3" authorId="0" shapeId="0">
      <text>
        <t>Tier 2
How to test:
'This is turning into a build job - switch modes.'</t>
      </text>
    </comment>
    <comment ref="BH3" authorId="0" shapeId="0">
      <text>
        <t>Tier 3
How to test:
'Open a new Plan chat about the release.'</t>
      </text>
    </comment>
    <comment ref="BI3" authorId="0" shapeId="0">
      <text>
        <t>Tier 3
How to test:
'Make this page look better' - does it load the Impeccable context first?</t>
      </text>
    </comment>
    <comment ref="BJ3" authorId="0" shapeId="0">
      <text>
        <t>Tier 1
How to test:
Plain chat. Sane answers, correct formatting, no runaway loops.</t>
      </text>
    </comment>
    <comment ref="BK3" authorId="0" shapeId="0">
      <text>
        <t>Tier 1
How to test:
A real multi-file code change, start to finish.</t>
      </text>
    </comment>
    <comment ref="BL3" authorId="0" shapeId="0">
      <text>
        <t>Tier 1
How to test:
Ask for a plan. Does it respect the plan-write guard and not start editing?</t>
      </text>
    </comment>
    <comment ref="BM3" authorId="0" shapeId="0">
      <text>
        <t>Tier 2
How to test:
Run the full pipeline. Do all stages advance, and do pause/resume/retry/rewind survive?</t>
      </text>
    </comment>
    <comment ref="BN3" authorId="0" shapeId="0">
      <text>
        <t>Tier 2
How to test:
Board-driven multi-agent run. Watch for silent stalls and missed completion reports.</t>
      </text>
    </comment>
    <comment ref="BO3" authorId="0" shapeId="0">
      <text>
        <t>Tier 2
How to test:
Hand it a failing test and let it work the loop.</t>
      </text>
    </comment>
    <comment ref="BP3" authorId="0" shapeId="0">
      <text>
        <t>Tier 3
How to test:
OS-level task via the desktop tools.</t>
      </text>
    </comment>
    <comment ref="BQ3" authorId="0" shapeId="0">
      <text>
        <t>Tier 3
How to test:
Full email triage session.</t>
      </text>
    </comment>
    <comment ref="BR3" authorId="0" shapeId="0">
      <text>
        <t>Tier 3
How to test:
Run the onboarding guide chat end to end.</t>
      </text>
    </comment>
    <comment ref="BS3" authorId="0" shapeId="0">
      <text>
        <t>Tier 2
How to test:
Kick off a research run and check the sources and the write-up.</t>
      </text>
    </comment>
    <comment ref="BT3" authorId="0" shapeId="0">
      <text>
        <t>Tier 3
How to test:
Run this model inside a Compare session against another.</t>
      </text>
    </comment>
    <comment ref="BU3" authorId="0" shapeId="0">
      <text>
        <t>Tier 2
How to test:
Does it title new chats sensibly, or emit JSON/preamble into the title?</t>
      </text>
    </comment>
    <comment ref="BV3" authorId="0" shapeId="0">
      <text>
        <t>Tier 2
How to test:
Invoke a skill and confirm it loads and is followed.</t>
      </text>
    </comment>
    <comment ref="BW3" authorId="0" shapeId="0">
      <text>
        <t>Tier 2
How to test:
Connect an MCP server and call one of its tools.</t>
      </text>
    </comment>
    <comment ref="BX3" authorId="0" shapeId="0">
      <text>
        <t>Tier 3
How to test:
Dictate a request and check the round trip.</t>
      </text>
    </comment>
    <comment ref="BY3" authorId="0" shapeId="0">
      <text>
        <t>Tier 1
How to test:
Are fences closed, languages tagged, tables well formed? Do file paths render as links?</t>
      </text>
    </comment>
  </commentList>
</comments>
</file>

<file path=xl/comments/comment3.xml><?xml version="1.0" encoding="utf-8"?>
<comments xmlns="http://schemas.openxmlformats.org/spreadsheetml/2006/main">
  <authors>
    <author>Minnow</author>
  </authors>
  <commentList>
    <comment ref="K3" authorId="0" shapeId="0">
      <text>
        <t>Tier 1
How to test:
Ask for a 200-word answer. Tokens must stream, not arrive in one block.</t>
      </text>
    </comment>
    <comment ref="L3" authorId="0" shapeId="0">
      <text>
        <t>Tier 1
How to test:
Ask 'what time is it?' -&gt; must emit a get_datetime tool call, not prose.</t>
      </text>
    </comment>
    <comment ref="M3" authorId="0" shapeId="0">
      <text>
        <t>Tier 2
How to test:
Ask to read three named files at once. Does it emit 3 calls in one batch, or serialise?</t>
      </text>
    </comment>
    <comment ref="N3" authorId="0" shapeId="0">
      <text>
        <t>Tier 1
How to test:
Ask a task needing 4+ chained calls (grep -&gt; read -&gt; edit -&gt; verify). Does it keep going after each result?</t>
      </text>
    </comment>
    <comment ref="O3" authorId="0" shapeId="0">
      <text>
        <t>Tier 1
How to test:
Watch the tool console for parse failures, trailing commas, stringified objects, missing required args.</t>
      </text>
    </comment>
    <comment ref="P3" authorId="0" shapeId="0">
      <text>
        <t>Tier 1
How to test:
Does it ever invent a tool name that is not in the catalog, or call a tool disabled in this mode?</t>
      </text>
    </comment>
    <comment ref="Q3" authorId="0" shapeId="0">
      <text>
        <t>Tier 1
How to test:
Does it follow the mode prompt (no preamble, correct output shape, respects guardrails)?</t>
      </text>
    </comment>
    <comment ref="R3" authorId="0" shapeId="0">
      <text>
        <t>Tier 2
How to test:
Load a big file / long chat, then ask about something from the start. Check for silent truncation.</t>
      </text>
    </comment>
    <comment ref="S3" authorId="0" shapeId="0">
      <text>
        <t>Tier 3
How to test:
Paste a screenshot and ask what is in it.</t>
      </text>
    </comment>
    <comment ref="T3" authorId="0" shapeId="0">
      <text>
        <t>Tier 3
How to test:
Does the thinking block parse and render, without leaking into the visible answer or breaking tool calls?</t>
      </text>
    </comment>
    <comment ref="U3" authorId="0" shapeId="0">
      <text>
        <t>Tier 1
How to test:
'List the files in src and read package.json.'</t>
      </text>
    </comment>
    <comment ref="V3" authorId="0" shapeId="0">
      <text>
        <t>Tier 3
How to test:
Point it at a PDF/DOCX in the workspace and ask for a summary.</t>
      </text>
    </comment>
    <comment ref="W3" authorId="0" shapeId="0">
      <text>
        <t>Tier 1
How to test:
'Create notes.md with three bullets, then append a fourth.'</t>
      </text>
    </comment>
    <comment ref="X3" authorId="0" shapeId="0">
      <text>
        <t>Tier 1
How to test:
Ask for a precise edit. The old_string must match exactly - this is where weak models fail hardest.</t>
      </text>
    </comment>
    <comment ref="Y3" authorId="0" shapeId="0">
      <text>
        <t>Tier 2
How to test:
'Read lines 40-60 of X, then insert a comment at line 41.'</t>
      </text>
    </comment>
    <comment ref="Z3" authorId="0" shapeId="0">
      <text>
        <t>Tier 1
How to test:
'Find every file that mentions BUILT_IN_TOOLS.'</t>
      </text>
    </comment>
    <comment ref="AA3" authorId="0" shapeId="0">
      <text>
        <t>Tier 3
How to test:
'Make me a spreadsheet of the last 5 commits.' Check the file actually opens.</t>
      </text>
    </comment>
    <comment ref="AB3" authorId="0" shapeId="0">
      <text>
        <t>Tier 1
How to test:
'What has changed on this branch?'</t>
      </text>
    </comment>
    <comment ref="AC3" authorId="0" shapeId="0">
      <text>
        <t>Tier 2
How to test:
'Commit the current changes on a new branch.' Check the message quality and that it does not force anything.</t>
      </text>
    </comment>
    <comment ref="AD3" authorId="0" shapeId="0">
      <text>
        <t>Tier 1
How to test:
'Run npm run typecheck and tell me what broke.'</t>
      </text>
    </comment>
    <comment ref="AE3" authorId="0" shapeId="0">
      <text>
        <t>Tier 2
How to test:
'Start the dev server and tell me when it is listening.'</t>
      </text>
    </comment>
    <comment ref="AF3" authorId="0" shapeId="0">
      <text>
        <t>Tier 2
How to test:
'Work out the mean of these 20 numbers with run_python.'</t>
      </text>
    </comment>
    <comment ref="AG3" authorId="0" shapeId="0">
      <text>
        <t>Tier 2
How to test:
After a long command: 'What is it printing? Now stop it.'</t>
      </text>
    </comment>
    <comment ref="AH3" authorId="0" shapeId="0">
      <text>
        <t>Tier 2
How to test:
'Where is formatCapabilityBadges defined and who calls it?'</t>
      </text>
    </comment>
    <comment ref="AI3" authorId="0" shapeId="0">
      <text>
        <t>Tier 3
How to test:
Break a type on purpose, then: 'Any diagnostics in this file?'</t>
      </text>
    </comment>
    <comment ref="AJ3" authorId="0" shapeId="0">
      <text>
        <t>Tier 1
How to test:
'Search the web for the latest llama.cpp release.'</t>
      </text>
    </comment>
    <comment ref="AK3" authorId="0" shapeId="0">
      <text>
        <t>Tier 2
How to test:
Give it a URL and ask for a summary of that page.</t>
      </text>
    </comment>
    <comment ref="AL3" authorId="0" shapeId="0">
      <text>
        <t>Tier 3
How to test:
'Look up the Mariana Trench on Wikipedia.'</t>
      </text>
    </comment>
    <comment ref="AM3" authorId="0" shapeId="0">
      <text>
        <t>Tier 2
How to test:
'Open example.com in a new tab, then list my tabs.'</t>
      </text>
    </comment>
    <comment ref="AN3" authorId="0" shapeId="0">
      <text>
        <t>Tier 2
How to test:
'Snapshot the page, fill the search box with foo and submit.' Does it use the returned refs correctly?</t>
      </text>
    </comment>
    <comment ref="AO3" authorId="0" shapeId="0">
      <text>
        <t>Tier 3
How to test:
'Screenshot the page and tell me the computed background colour.'</t>
      </text>
    </comment>
    <comment ref="AP3" authorId="0" shapeId="0">
      <text>
        <t>Tier 1
How to test:
Give a 5-step task. Does it build a todo list and keep it current, or write it once and forget?</t>
      </text>
    </comment>
    <comment ref="AQ3" authorId="0" shapeId="0">
      <text>
        <t>Tier 2
How to test:
'Spawn a sub-agent to audit src/tools and report back.'</t>
      </text>
    </comment>
    <comment ref="AR3" authorId="0" shapeId="0">
      <text>
        <t>Tier 3
How to test:
While one is running: 'What are my sub-agents doing? Cancel it.'</t>
      </text>
    </comment>
    <comment ref="AS3" authorId="0" shapeId="0">
      <text>
        <t>Tier 2
How to test:
Give three independent chunks of work and ask it to fan them out.</t>
      </text>
    </comment>
    <comment ref="AT3" authorId="0" shapeId="0">
      <text>
        <t>Tier 2
How to test:
In Orchestrate mode: does it seed the board and keep task states moving?</t>
      </text>
    </comment>
    <comment ref="AU3" authorId="0" shapeId="0">
      <text>
        <t>Tier 2
How to test:
Does the worker report back on completion instead of going quiet? (known weak spot)</t>
      </text>
    </comment>
    <comment ref="AV3" authorId="0" shapeId="0">
      <text>
        <t>Tier 3
How to test:
'Log an issue for this bug, then link it to the previous one.'</t>
      </text>
    </comment>
    <comment ref="AW3" authorId="0" shapeId="0">
      <text>
        <t>Tier 2
How to test:
'What does the Brain say about the session engine?'</t>
      </text>
    </comment>
    <comment ref="AX3" authorId="0" shapeId="0">
      <text>
        <t>Tier 3
How to test:
'Write what we just learned to a Brain page.'</t>
      </text>
    </comment>
    <comment ref="AY3" authorId="0" shapeId="0">
      <text>
        <t>Tier 3
How to test:
'How do Minnow modes work? Check the docs.'</t>
      </text>
    </comment>
    <comment ref="AZ3" authorId="0" shapeId="0">
      <text>
        <t>Tier 2
How to test:
'Remember that I always want tests run before commits.'</t>
      </text>
    </comment>
    <comment ref="BA3" authorId="0" shapeId="0">
      <text>
        <t>Tier 2
How to test:
Deep into a long chat: 'What did I ask you in the third message?'</t>
      </text>
    </comment>
    <comment ref="BB3" authorId="0" shapeId="0">
      <text>
        <t>Tier 3
How to test:
'Show me unread mail from this week.'</t>
      </text>
    </comment>
    <comment ref="BC3" authorId="0" shapeId="0">
      <text>
        <t>Tier 3
How to test:
'Draft a reply to the top thread.' Must draft, never send.</t>
      </text>
    </comment>
    <comment ref="BD3" authorId="0" shapeId="0">
      <text>
        <t>Tier 3
How to test:
'Summarise my inbox and give me three reply options.'</t>
      </text>
    </comment>
    <comment ref="BE3" authorId="0" shapeId="0">
      <text>
        <t>Tier 3
How to test:
'What is on my calendar tomorrow?'</t>
      </text>
    </comment>
    <comment ref="BF3" authorId="0" shapeId="0">
      <text>
        <t>Tier 3
How to test:
'Switch me to the dark theme and raise the font size.'</t>
      </text>
    </comment>
    <comment ref="BG3" authorId="0" shapeId="0">
      <text>
        <t>Tier 2
How to test:
'This is turning into a build job - switch modes.'</t>
      </text>
    </comment>
    <comment ref="BH3" authorId="0" shapeId="0">
      <text>
        <t>Tier 3
How to test:
'Open a new Plan chat about the release.'</t>
      </text>
    </comment>
    <comment ref="BI3" authorId="0" shapeId="0">
      <text>
        <t>Tier 3
How to test:
'Make this page look better' - does it load the Impeccable context first?</t>
      </text>
    </comment>
    <comment ref="BJ3" authorId="0" shapeId="0">
      <text>
        <t>Tier 1
How to test:
Plain chat. Sane answers, correct formatting, no runaway loops.</t>
      </text>
    </comment>
    <comment ref="BK3" authorId="0" shapeId="0">
      <text>
        <t>Tier 1
How to test:
A real multi-file code change, start to finish.</t>
      </text>
    </comment>
    <comment ref="BL3" authorId="0" shapeId="0">
      <text>
        <t>Tier 1
How to test:
Ask for a plan. Does it respect the plan-write guard and not start editing?</t>
      </text>
    </comment>
    <comment ref="BM3" authorId="0" shapeId="0">
      <text>
        <t>Tier 2
How to test:
Run the full pipeline. Do all stages advance, and do pause/resume/retry/rewind survive?</t>
      </text>
    </comment>
    <comment ref="BN3" authorId="0" shapeId="0">
      <text>
        <t>Tier 2
How to test:
Board-driven multi-agent run. Watch for silent stalls and missed completion reports.</t>
      </text>
    </comment>
    <comment ref="BO3" authorId="0" shapeId="0">
      <text>
        <t>Tier 2
How to test:
Hand it a failing test and let it work the loop.</t>
      </text>
    </comment>
    <comment ref="BP3" authorId="0" shapeId="0">
      <text>
        <t>Tier 3
How to test:
OS-level task via the desktop tools.</t>
      </text>
    </comment>
    <comment ref="BQ3" authorId="0" shapeId="0">
      <text>
        <t>Tier 3
How to test:
Full email triage session.</t>
      </text>
    </comment>
    <comment ref="BR3" authorId="0" shapeId="0">
      <text>
        <t>Tier 3
How to test:
Run the onboarding guide chat end to end.</t>
      </text>
    </comment>
    <comment ref="BS3" authorId="0" shapeId="0">
      <text>
        <t>Tier 2
How to test:
Kick off a research run and check the sources and the write-up.</t>
      </text>
    </comment>
    <comment ref="BT3" authorId="0" shapeId="0">
      <text>
        <t>Tier 3
How to test:
Run this model inside a Compare session against another.</t>
      </text>
    </comment>
    <comment ref="BU3" authorId="0" shapeId="0">
      <text>
        <t>Tier 2
How to test:
Does it title new chats sensibly, or emit JSON/preamble into the title?</t>
      </text>
    </comment>
    <comment ref="BV3" authorId="0" shapeId="0">
      <text>
        <t>Tier 2
How to test:
Invoke a skill and confirm it loads and is followed.</t>
      </text>
    </comment>
    <comment ref="BW3" authorId="0" shapeId="0">
      <text>
        <t>Tier 2
How to test:
Connect an MCP server and call one of its tools.</t>
      </text>
    </comment>
    <comment ref="BX3" authorId="0" shapeId="0">
      <text>
        <t>Tier 3
How to test:
Dictate a request and check the round trip.</t>
      </text>
    </comment>
    <comment ref="BY3" authorId="0" shapeId="0">
      <text>
        <t>Tier 1
How to test:
Are fences closed, languages tagged, tables well formed? Do file paths render as links?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4" customWidth="1" min="3" max="3"/>
  </cols>
  <sheetData>
    <row r="2" ht="26" customHeight="1">
      <c r="B2" s="1" t="inlineStr">
        <is>
          <t>Minnow model capability matrix</t>
        </is>
      </c>
    </row>
    <row r="3" ht="15" customHeight="1"/>
    <row r="4" ht="15" customHeight="1">
      <c r="B4" s="2" t="inlineStr">
        <is>
          <t>What this is</t>
        </is>
      </c>
      <c r="C4" s="3" t="inlineStr">
        <is>
          <t>One row per model, one column per thing a model has to do inside Minnow. Three sheets: Cloud (hosted APIs), LM Studio (local server), Minnow Hosting (models Minnow serves itself via llama.cpp / MLX). The columns are identical on all three so a model can be compared across hosts.</t>
        </is>
      </c>
    </row>
    <row r="5" ht="15" customHeight="1"/>
    <row r="6" ht="15" customHeight="1">
      <c r="B6" s="4" t="inlineStr">
        <is>
          <t>How to fill it in</t>
        </is>
      </c>
    </row>
    <row r="7" ht="15" customHeight="1">
      <c r="B7" s="2" t="inlineStr"/>
      <c r="C7" s="3" t="inlineStr">
        <is>
          <t>1. Pick a row. Set Date tested and work left to right through the capability columns.</t>
        </is>
      </c>
    </row>
    <row r="8" ht="15" customHeight="1">
      <c r="B8" s="2" t="inlineStr"/>
      <c r="C8" s="3" t="inlineStr">
        <is>
          <t>2. Every capability cell is a dropdown. Leave it blank until you have actually tried it.</t>
        </is>
      </c>
    </row>
    <row r="9" ht="15" customHeight="1">
      <c r="B9" s="2" t="inlineStr"/>
      <c r="C9" s="3" t="inlineStr">
        <is>
          <t>3. ✅ works  |  ⚠️ works but with a caveat (write it in Notes)  |  ❌ broken  |  ➖ not applicable on this host.</t>
        </is>
      </c>
    </row>
    <row r="10" ht="15" customHeight="1">
      <c r="B10" s="2" t="inlineStr"/>
      <c r="C10" s="3" t="inlineStr">
        <is>
          <t>4. Anything that stops you using the model for real work goes in 'Blocking issues'. Everything else in 'Notes'.</t>
        </is>
      </c>
    </row>
    <row r="11" ht="15" customHeight="1">
      <c r="B11" s="2" t="inlineStr"/>
      <c r="C11" s="3" t="inlineStr">
        <is>
          <t>5. Set the Verdict when you are done with a row. Score and Tested (n) calculate themselves.</t>
        </is>
      </c>
    </row>
    <row r="12" ht="15" customHeight="1">
      <c r="B12" s="2" t="inlineStr"/>
      <c r="C12" s="3" t="inlineStr">
        <is>
          <t>6. Hover any capability header for its tier and a concrete prompt to test it with.</t>
        </is>
      </c>
    </row>
    <row r="13" ht="15" customHeight="1"/>
    <row r="14" ht="15" customHeight="1">
      <c r="B14" s="4" t="inlineStr">
        <is>
          <t>Test tiers</t>
        </is>
      </c>
    </row>
    <row r="15" ht="15" customHeight="1">
      <c r="B15" s="2" t="inlineStr">
        <is>
          <t>Tier 1 - triage (18 cols)</t>
        </is>
      </c>
      <c r="C15" s="3" t="inlineStr">
        <is>
          <t>If a model fails any of these it is not usable in Minnow. Test these first; if two or three fail, mark the model Unusable and move on.</t>
        </is>
      </c>
    </row>
    <row r="16" ht="15" customHeight="1">
      <c r="B16" s="2" t="inlineStr">
        <is>
          <t>Tier 2 - real work</t>
        </is>
      </c>
      <c r="C16" s="3" t="inlineStr">
        <is>
          <t>What separates a chat toy from something you can run Build, Orchestrate or Super Plan with.</t>
        </is>
      </c>
    </row>
    <row r="17" ht="15" customHeight="1">
      <c r="B17" s="2" t="inlineStr">
        <is>
          <t>Tier 3 - breadth</t>
        </is>
      </c>
      <c r="C17" s="3" t="inlineStr">
        <is>
          <t>Apps, browser, voice, email, docs. Nice to have; test last.</t>
        </is>
      </c>
    </row>
    <row r="18" ht="15" customHeight="1"/>
    <row r="19" ht="15" customHeight="1">
      <c r="B19" s="4" t="inlineStr">
        <is>
          <t>Legend</t>
        </is>
      </c>
    </row>
    <row r="20" ht="15" customHeight="1">
      <c r="B20" s="5" t="inlineStr">
        <is>
          <t>✅</t>
        </is>
      </c>
      <c r="C20" s="6" t="inlineStr">
        <is>
          <t>Works - did the job unprompted and correctly</t>
        </is>
      </c>
    </row>
    <row r="21" ht="15" customHeight="1">
      <c r="B21" s="7" t="inlineStr">
        <is>
          <t>⚠️</t>
        </is>
      </c>
      <c r="C21" s="6" t="inlineStr">
        <is>
          <t>Partial - works but needed nudging, retried, or got it right only sometimes</t>
        </is>
      </c>
    </row>
    <row r="22" ht="15" customHeight="1">
      <c r="B22" s="8" t="inlineStr">
        <is>
          <t>❌</t>
        </is>
      </c>
      <c r="C22" s="6" t="inlineStr">
        <is>
          <t>Broken - wrong output, malformed call, ignored the tool, or hung</t>
        </is>
      </c>
    </row>
    <row r="23" ht="15" customHeight="1">
      <c r="B23" s="9" t="inlineStr">
        <is>
          <t>➖</t>
        </is>
      </c>
      <c r="C23" s="6" t="inlineStr">
        <is>
          <t>Not applicable - the feature is not reachable on this host / model</t>
        </is>
      </c>
    </row>
    <row r="24" ht="15" customHeight="1">
      <c r="B24" s="10" t="inlineStr">
        <is>
          <t>(blank)</t>
        </is>
      </c>
      <c r="C24" s="6" t="inlineStr">
        <is>
          <t>Not tested yet</t>
        </is>
      </c>
    </row>
    <row r="25" ht="15" customHeight="1"/>
    <row r="26" ht="15" customHeight="1">
      <c r="B26" s="2" t="inlineStr">
        <is>
          <t>Score</t>
        </is>
      </c>
      <c r="C26" s="3" t="inlineStr">
        <is>
          <t>(passes + half the partials) / everything scored as pass, partial or fail. N/A and blanks are excluded, so a 100% on two tested columns means nothing - read it next to Tested (n).</t>
        </is>
      </c>
    </row>
    <row r="27" ht="15" customHeight="1"/>
    <row r="28" ht="15" customHeight="1">
      <c r="B28" s="2" t="inlineStr">
        <is>
          <t>Where the prefill came from</t>
        </is>
      </c>
      <c r="C28" s="3" t="inlineStr">
        <is>
          <t>Local model rows are drawn from Minnow's own HF catalog (src/models/catalog.json, 912 repos) filtered to popular instruct/coder models, with the quant most worth testing. Cloud model ids should be confirmed against the live provider list in Settings before you test - providers rename and retire them constantly.</t>
        </is>
      </c>
    </row>
    <row r="29" ht="15" customHeight="1"/>
    <row r="30" ht="15" customHeight="1">
      <c r="B30" s="2" t="inlineStr">
        <is>
          <t>Column source</t>
        </is>
      </c>
      <c r="C30" s="3" t="inlineStr">
        <is>
          <t>Capability columns were generated from Minnow's real tool catalog (src/tools/definitions.ts, 114 tools across web/utility/files/git/code/agents/browser/lsp), the mode registry (src/chat/prompts/modes), and the capability probe (src/providers/model-capabilities.ts). If a tool is added to Minnow, add a column here.</t>
        </is>
      </c>
    </row>
    <row r="31" ht="15" customHeight="1"/>
    <row r="32" ht="15" customHeight="1">
      <c r="B32" s="2" t="inlineStr">
        <is>
          <t>Add a model</t>
        </is>
      </c>
      <c r="C32" s="3" t="inlineStr">
        <is>
          <t>Insert a row anywhere below row 5 on the relevant sheet. Copy an existing row first so the Score and Tested formulas and the dropdowns come with it.</t>
        </is>
      </c>
    </row>
    <row r="33" ht="1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4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15" customWidth="1" min="4" max="4"/>
    <col width="10" customWidth="1" min="5" max="5"/>
    <col width="11" customWidth="1" min="6" max="6"/>
    <col width="13" customWidth="1" min="7" max="7"/>
    <col width="20" customWidth="1" min="8" max="8"/>
    <col width="9" customWidth="1" min="9" max="9"/>
    <col width="11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4.8" customWidth="1" min="35" max="35"/>
    <col width="4.8" customWidth="1" min="36" max="36"/>
    <col width="4.8" customWidth="1" min="37" max="37"/>
    <col width="4.8" customWidth="1" min="38" max="38"/>
    <col width="4.8" customWidth="1" min="39" max="39"/>
    <col width="4.8" customWidth="1" min="40" max="40"/>
    <col width="4.8" customWidth="1" min="41" max="41"/>
    <col width="4.8" customWidth="1" min="42" max="42"/>
    <col width="4.8" customWidth="1" min="43" max="43"/>
    <col width="4.8" customWidth="1" min="44" max="44"/>
    <col width="4.8" customWidth="1" min="45" max="45"/>
    <col width="4.8" customWidth="1" min="46" max="46"/>
    <col width="4.8" customWidth="1" min="47" max="47"/>
    <col width="4.8" customWidth="1" min="48" max="48"/>
    <col width="4.8" customWidth="1" min="49" max="49"/>
    <col width="4.8" customWidth="1" min="50" max="50"/>
    <col width="4.8" customWidth="1" min="51" max="51"/>
    <col width="4.8" customWidth="1" min="52" max="52"/>
    <col width="4.8" customWidth="1" min="53" max="53"/>
    <col width="4.8" customWidth="1" min="54" max="54"/>
    <col width="4.8" customWidth="1" min="55" max="55"/>
    <col width="4.8" customWidth="1" min="56" max="56"/>
    <col width="4.8" customWidth="1" min="57" max="57"/>
    <col width="4.8" customWidth="1" min="58" max="58"/>
    <col width="4.8" customWidth="1" min="59" max="59"/>
    <col width="4.8" customWidth="1" min="60" max="60"/>
    <col width="4.8" customWidth="1" min="61" max="61"/>
    <col width="4.8" customWidth="1" min="62" max="62"/>
    <col width="4.8" customWidth="1" min="63" max="63"/>
    <col width="4.8" customWidth="1" min="64" max="64"/>
    <col width="4.8" customWidth="1" min="65" max="65"/>
    <col width="4.8" customWidth="1" min="66" max="66"/>
    <col width="4.8" customWidth="1" min="67" max="67"/>
    <col width="4.8" customWidth="1" min="68" max="68"/>
    <col width="4.8" customWidth="1" min="69" max="69"/>
    <col width="4.8" customWidth="1" min="70" max="70"/>
    <col width="4.8" customWidth="1" min="71" max="71"/>
    <col width="4.8" customWidth="1" min="72" max="72"/>
    <col width="4.8" customWidth="1" min="73" max="73"/>
    <col width="4.8" customWidth="1" min="74" max="74"/>
    <col width="4.8" customWidth="1" min="75" max="75"/>
    <col width="4.8" customWidth="1" min="76" max="76"/>
    <col width="4.8" customWidth="1" min="77" max="77"/>
    <col width="46" customWidth="1" min="78" max="78"/>
    <col width="60" customWidth="1" min="79" max="79"/>
  </cols>
  <sheetData>
    <row r="1" ht="24" customHeight="1">
      <c r="A1" s="11" t="inlineStr">
        <is>
          <t>Minnow model capability matrix - Cloud</t>
        </is>
      </c>
      <c r="D1" s="12" t="inlineStr">
        <is>
          <t>Cloud models - hosted APIs (OpenRouter, OpenAI, Anthropic, Groq, Mistral, DeepSeek, Copilot)</t>
        </is>
      </c>
    </row>
    <row r="2" ht="20" customHeight="1">
      <c r="A2" s="13" t="inlineStr">
        <is>
          <t>MODEL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5" t="inlineStr">
        <is>
          <t>CORE PROTOCOL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7" t="inlineStr">
        <is>
          <t>FILES</t>
        </is>
      </c>
      <c r="V2" s="18" t="n"/>
      <c r="W2" s="18" t="n"/>
      <c r="X2" s="18" t="n"/>
      <c r="Y2" s="18" t="n"/>
      <c r="Z2" s="18" t="n"/>
      <c r="AA2" s="19" t="inlineStr">
        <is>
          <t>DOCS</t>
        </is>
      </c>
      <c r="AB2" s="20" t="inlineStr">
        <is>
          <t>GIT</t>
        </is>
      </c>
      <c r="AC2" s="21" t="n"/>
      <c r="AD2" s="22" t="inlineStr">
        <is>
          <t>CODE &amp; SHELL</t>
        </is>
      </c>
      <c r="AE2" s="23" t="n"/>
      <c r="AF2" s="23" t="n"/>
      <c r="AG2" s="23" t="n"/>
      <c r="AH2" s="23" t="n"/>
      <c r="AI2" s="19" t="inlineStr">
        <is>
          <t>LSP</t>
        </is>
      </c>
      <c r="AJ2" s="24" t="inlineStr">
        <is>
          <t>WEB</t>
        </is>
      </c>
      <c r="AK2" s="25" t="n"/>
      <c r="AL2" s="25" t="n"/>
      <c r="AM2" s="26" t="inlineStr">
        <is>
          <t>BROWSER</t>
        </is>
      </c>
      <c r="AN2" s="27" t="n"/>
      <c r="AO2" s="27" t="n"/>
      <c r="AP2" s="28" t="inlineStr">
        <is>
          <t>AGENTS &amp; TASKS</t>
        </is>
      </c>
      <c r="AQ2" s="29" t="n"/>
      <c r="AR2" s="29" t="n"/>
      <c r="AS2" s="29" t="n"/>
      <c r="AT2" s="29" t="n"/>
      <c r="AU2" s="29" t="n"/>
      <c r="AV2" s="29" t="n"/>
      <c r="AW2" s="30" t="inlineStr">
        <is>
          <t>KNOWLEDGE</t>
        </is>
      </c>
      <c r="AX2" s="31" t="n"/>
      <c r="AY2" s="31" t="n"/>
      <c r="AZ2" s="31" t="n"/>
      <c r="BA2" s="31" t="n"/>
      <c r="BB2" s="32" t="inlineStr">
        <is>
          <t>APPS</t>
        </is>
      </c>
      <c r="BC2" s="33" t="n"/>
      <c r="BD2" s="33" t="n"/>
      <c r="BE2" s="33" t="n"/>
      <c r="BF2" s="33" t="n"/>
      <c r="BG2" s="34" t="inlineStr">
        <is>
          <t>MODE CONTROL</t>
        </is>
      </c>
      <c r="BH2" s="35" t="n"/>
      <c r="BI2" s="35" t="n"/>
      <c r="BJ2" s="36" t="inlineStr">
        <is>
          <t>MODES</t>
        </is>
      </c>
      <c r="BK2" s="37" t="n"/>
      <c r="BL2" s="37" t="n"/>
      <c r="BM2" s="37" t="n"/>
      <c r="BN2" s="37" t="n"/>
      <c r="BO2" s="37" t="n"/>
      <c r="BP2" s="37" t="n"/>
      <c r="BQ2" s="37" t="n"/>
      <c r="BR2" s="37" t="n"/>
      <c r="BS2" s="38" t="inlineStr">
        <is>
          <t>FEATURES</t>
        </is>
      </c>
      <c r="BT2" s="39" t="n"/>
      <c r="BU2" s="39" t="n"/>
      <c r="BV2" s="39" t="n"/>
      <c r="BW2" s="39" t="n"/>
      <c r="BX2" s="39" t="n"/>
      <c r="BY2" s="39" t="n"/>
      <c r="BZ2" s="40" t="inlineStr">
        <is>
          <t>FINDINGS</t>
        </is>
      </c>
      <c r="CA2" s="14" t="n"/>
    </row>
    <row r="3" ht="190" customHeight="1">
      <c r="A3" s="41" t="inlineStr">
        <is>
          <t>Model</t>
        </is>
      </c>
      <c r="B3" s="41" t="inlineStr">
        <is>
          <t>Producer</t>
        </is>
      </c>
      <c r="C3" s="41" t="inlineStr">
        <is>
          <t>Provider / Host</t>
        </is>
      </c>
      <c r="D3" s="41" t="inlineStr">
        <is>
          <t>Quantization</t>
        </is>
      </c>
      <c r="E3" s="41" t="inlineStr">
        <is>
          <t>Params</t>
        </is>
      </c>
      <c r="F3" s="41" t="inlineStr">
        <is>
          <t>Context</t>
        </is>
      </c>
      <c r="G3" s="41" t="inlineStr">
        <is>
          <t>Date tested</t>
        </is>
      </c>
      <c r="H3" s="41" t="inlineStr">
        <is>
          <t>Verdict</t>
        </is>
      </c>
      <c r="I3" s="41" t="inlineStr">
        <is>
          <t>Score</t>
        </is>
      </c>
      <c r="J3" s="41" t="inlineStr">
        <is>
          <t>Tested (n)</t>
        </is>
      </c>
      <c r="K3" s="42" t="inlineStr">
        <is>
          <t>Streaming</t>
        </is>
      </c>
      <c r="L3" s="42" t="inlineStr">
        <is>
          <t>Tool calling (basic)</t>
        </is>
      </c>
      <c r="M3" s="42" t="inlineStr">
        <is>
          <t>Parallel tool calls</t>
        </is>
      </c>
      <c r="N3" s="42" t="inlineStr">
        <is>
          <t>Multi-step tool loop</t>
        </is>
      </c>
      <c r="O3" s="42" t="inlineStr">
        <is>
          <t>Valid JSON args</t>
        </is>
      </c>
      <c r="P3" s="42" t="inlineStr">
        <is>
          <t>No hallucinated tools</t>
        </is>
      </c>
      <c r="Q3" s="42" t="inlineStr">
        <is>
          <t>System prompt adherence</t>
        </is>
      </c>
      <c r="R3" s="42" t="inlineStr">
        <is>
          <t>Long context &gt;32k</t>
        </is>
      </c>
      <c r="S3" s="42" t="inlineStr">
        <is>
          <t>Vision / image input</t>
        </is>
      </c>
      <c r="T3" s="42" t="inlineStr">
        <is>
          <t>Reasoning / thinking</t>
        </is>
      </c>
      <c r="U3" s="43" t="inlineStr">
        <is>
          <t>list_directory / read_file</t>
        </is>
      </c>
      <c r="V3" s="43" t="inlineStr">
        <is>
          <t>read_document</t>
        </is>
      </c>
      <c r="W3" s="43" t="inlineStr">
        <is>
          <t>save_file / append_file</t>
        </is>
      </c>
      <c r="X3" s="43" t="inlineStr">
        <is>
          <t>replace_text_in_file</t>
        </is>
      </c>
      <c r="Y3" s="43" t="inlineStr">
        <is>
          <t>insert_at_line / read_file_range</t>
        </is>
      </c>
      <c r="Z3" s="43" t="inlineStr">
        <is>
          <t>grep / find_files</t>
        </is>
      </c>
      <c r="AA3" s="44" t="inlineStr">
        <is>
          <t>create_pdf / spreadsheet / word</t>
        </is>
      </c>
      <c r="AB3" s="45" t="inlineStr">
        <is>
          <t>git_status / diff / log (read)</t>
        </is>
      </c>
      <c r="AC3" s="45" t="inlineStr">
        <is>
          <t>git_add / commit / branch (write)</t>
        </is>
      </c>
      <c r="AD3" s="46" t="inlineStr">
        <is>
          <t>execute_command</t>
        </is>
      </c>
      <c r="AE3" s="46" t="inlineStr">
        <is>
          <t>Background cmds / dev servers</t>
        </is>
      </c>
      <c r="AF3" s="46" t="inlineStr">
        <is>
          <t>run_javascript / run_python</t>
        </is>
      </c>
      <c r="AG3" s="46" t="inlineStr">
        <is>
          <t>read_command_log / stop_command</t>
        </is>
      </c>
      <c r="AH3" s="46" t="inlineStr">
        <is>
          <t>Code intel (repo_map, find_symbol)</t>
        </is>
      </c>
      <c r="AI3" s="44" t="inlineStr">
        <is>
          <t>get_lsp_diagnostics / list_lsp_servers</t>
        </is>
      </c>
      <c r="AJ3" s="47" t="inlineStr">
        <is>
          <t>web_search</t>
        </is>
      </c>
      <c r="AK3" s="47" t="inlineStr">
        <is>
          <t>fetch_web_content / rag_web_content</t>
        </is>
      </c>
      <c r="AL3" s="47" t="inlineStr">
        <is>
          <t>wikipedia_search</t>
        </is>
      </c>
      <c r="AM3" s="48" t="inlineStr">
        <is>
          <t>navigate / tabs</t>
        </is>
      </c>
      <c r="AN3" s="48" t="inlineStr">
        <is>
          <t>snapshot / click / fill</t>
        </is>
      </c>
      <c r="AO3" s="48" t="inlineStr">
        <is>
          <t>eval / screenshot</t>
        </is>
      </c>
      <c r="AP3" s="49" t="inlineStr">
        <is>
          <t>todo_write</t>
        </is>
      </c>
      <c r="AQ3" s="49" t="inlineStr">
        <is>
          <t>spawn_sub_agent</t>
        </is>
      </c>
      <c r="AR3" s="49" t="inlineStr">
        <is>
          <t>list / get / cancel sub-agents</t>
        </is>
      </c>
      <c r="AS3" s="49" t="inlineStr">
        <is>
          <t>delegate_tasks</t>
        </is>
      </c>
      <c r="AT3" s="49" t="inlineStr">
        <is>
          <t>board_init / board_update_task</t>
        </is>
      </c>
      <c r="AU3" s="49" t="inlineStr">
        <is>
          <t>board_report / board_get_state</t>
        </is>
      </c>
      <c r="AV3" s="49" t="inlineStr">
        <is>
          <t>issue_* tools</t>
        </is>
      </c>
      <c r="AW3" s="50" t="inlineStr">
        <is>
          <t>brain_search / read_page / list</t>
        </is>
      </c>
      <c r="AX3" s="50" t="inlineStr">
        <is>
          <t>brain_write_page / append_log / ingest</t>
        </is>
      </c>
      <c r="AY3" s="50" t="inlineStr">
        <is>
          <t>minnow_docs_*</t>
        </is>
      </c>
      <c r="AZ3" s="50" t="inlineStr">
        <is>
          <t>save_memory</t>
        </is>
      </c>
      <c r="BA3" s="50" t="inlineStr">
        <is>
          <t>recall_chat_context / recall_turn_full</t>
        </is>
      </c>
      <c r="BB3" s="51" t="inlineStr">
        <is>
          <t>Email: list / search / get_thread</t>
        </is>
      </c>
      <c r="BC3" s="51" t="inlineStr">
        <is>
          <t>Email: draft_reply / email_action</t>
        </is>
      </c>
      <c r="BD3" s="51" t="inlineStr">
        <is>
          <t>summarize_inbox / reply_variants</t>
        </is>
      </c>
      <c r="BE3" s="51" t="inlineStr">
        <is>
          <t>manage_calendar</t>
        </is>
      </c>
      <c r="BF3" s="51" t="inlineStr">
        <is>
          <t>Settings &amp; appearance tools</t>
        </is>
      </c>
      <c r="BG3" s="52" t="inlineStr">
        <is>
          <t>set_chat_mode / propose_mode_switch</t>
        </is>
      </c>
      <c r="BH3" s="52" t="inlineStr">
        <is>
          <t>create_chat_with_mode / launch app</t>
        </is>
      </c>
      <c r="BI3" s="52" t="inlineStr">
        <is>
          <t>Impeccable / aesthetics</t>
        </is>
      </c>
      <c r="BJ3" s="53" t="inlineStr">
        <is>
          <t>General</t>
        </is>
      </c>
      <c r="BK3" s="53" t="inlineStr">
        <is>
          <t>Build</t>
        </is>
      </c>
      <c r="BL3" s="53" t="inlineStr">
        <is>
          <t>Plan</t>
        </is>
      </c>
      <c r="BM3" s="53" t="inlineStr">
        <is>
          <t>Super Plan</t>
        </is>
      </c>
      <c r="BN3" s="53" t="inlineStr">
        <is>
          <t>Orchestrate</t>
        </is>
      </c>
      <c r="BO3" s="53" t="inlineStr">
        <is>
          <t>Debug</t>
        </is>
      </c>
      <c r="BP3" s="53" t="inlineStr">
        <is>
          <t>Desktop</t>
        </is>
      </c>
      <c r="BQ3" s="53" t="inlineStr">
        <is>
          <t>Email</t>
        </is>
      </c>
      <c r="BR3" s="53" t="inlineStr">
        <is>
          <t>Onboarding</t>
        </is>
      </c>
      <c r="BS3" s="54" t="inlineStr">
        <is>
          <t>Research</t>
        </is>
      </c>
      <c r="BT3" s="54" t="inlineStr">
        <is>
          <t>Compare</t>
        </is>
      </c>
      <c r="BU3" s="54" t="inlineStr">
        <is>
          <t>Chat title generation</t>
        </is>
      </c>
      <c r="BV3" s="54" t="inlineStr">
        <is>
          <t>Skills / plugins</t>
        </is>
      </c>
      <c r="BW3" s="54" t="inlineStr">
        <is>
          <t>MCP servers</t>
        </is>
      </c>
      <c r="BX3" s="54" t="inlineStr">
        <is>
          <t>Voice</t>
        </is>
      </c>
      <c r="BY3" s="54" t="inlineStr">
        <is>
          <t>Markdown &amp; code fences</t>
        </is>
      </c>
      <c r="BZ3" s="41" t="inlineStr">
        <is>
          <t>Blocking issues</t>
        </is>
      </c>
      <c r="CA3" s="41" t="inlineStr">
        <is>
          <t>Notes</t>
        </is>
      </c>
    </row>
    <row r="4" ht="18" customHeight="1">
      <c r="A4" s="55" t="inlineStr">
        <is>
          <t>EXAMPLE - Claude Sonnet 5</t>
        </is>
      </c>
      <c r="B4" s="56" t="inlineStr">
        <is>
          <t>Anthropic</t>
        </is>
      </c>
      <c r="C4" s="56" t="inlineStr">
        <is>
          <t>Anthropic</t>
        </is>
      </c>
      <c r="D4" s="56" t="inlineStr">
        <is>
          <t>-</t>
        </is>
      </c>
      <c r="E4" s="56" t="inlineStr">
        <is>
          <t>-</t>
        </is>
      </c>
      <c r="F4" s="56" t="inlineStr">
        <is>
          <t>200k</t>
        </is>
      </c>
      <c r="G4" s="57" t="inlineStr">
        <is>
          <t>2026-08-10</t>
        </is>
      </c>
      <c r="H4" s="56" t="inlineStr">
        <is>
          <t>Works</t>
        </is>
      </c>
      <c r="I4" s="58">
        <f>IFERROR((COUNTIF(K4:BY4,"✅")+0.5*COUNTIF(K4:BY4,"⚠️"))/(COUNTIF(K4:BY4,"✅")+COUNTIF(K4:BY4,"⚠️")+COUNTIF(K4:BY4,"❌")),"")</f>
        <v/>
      </c>
      <c r="J4" s="57">
        <f>COUNTIF(K4:BY4,"✅")+COUNTIF(K4:BY4,"⚠️")+COUNTIF(K4:BY4,"❌")+COUNTIF(K4:BY4,"➖")</f>
        <v/>
      </c>
      <c r="K4" s="59" t="inlineStr">
        <is>
          <t>✅</t>
        </is>
      </c>
      <c r="L4" s="59" t="inlineStr">
        <is>
          <t>✅</t>
        </is>
      </c>
      <c r="M4" s="59" t="inlineStr">
        <is>
          <t>✅</t>
        </is>
      </c>
      <c r="N4" s="59" t="inlineStr">
        <is>
          <t>✅</t>
        </is>
      </c>
      <c r="O4" s="59" t="inlineStr">
        <is>
          <t>✅</t>
        </is>
      </c>
      <c r="P4" s="59" t="inlineStr">
        <is>
          <t>⚠️</t>
        </is>
      </c>
      <c r="Q4" s="59" t="inlineStr">
        <is>
          <t>✅</t>
        </is>
      </c>
      <c r="R4" s="59" t="inlineStr">
        <is>
          <t>➖</t>
        </is>
      </c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  <c r="BV4" s="59" t="n"/>
      <c r="BW4" s="59" t="n"/>
      <c r="BX4" s="59" t="n"/>
      <c r="BY4" s="59" t="n"/>
      <c r="BZ4" s="60" t="n"/>
      <c r="CA4" s="60" t="inlineStr">
        <is>
          <t>Everything green except voice (not wired on this box).</t>
        </is>
      </c>
    </row>
    <row r="5" ht="18" customHeight="1">
      <c r="A5" s="61" t="inlineStr">
        <is>
          <t>Claude Opus 5</t>
        </is>
      </c>
      <c r="B5" s="62" t="inlineStr">
        <is>
          <t>Anthropic</t>
        </is>
      </c>
      <c r="C5" s="62" t="inlineStr">
        <is>
          <t>Anthropic</t>
        </is>
      </c>
      <c r="D5" s="62" t="inlineStr">
        <is>
          <t>-</t>
        </is>
      </c>
      <c r="E5" s="62" t="inlineStr">
        <is>
          <t>-</t>
        </is>
      </c>
      <c r="F5" s="62" t="inlineStr">
        <is>
          <t>200k</t>
        </is>
      </c>
      <c r="G5" s="63" t="n"/>
      <c r="H5" s="62" t="inlineStr">
        <is>
          <t>Untested</t>
        </is>
      </c>
      <c r="I5" s="64">
        <f>IFERROR((COUNTIF(K5:BY5,"✅")+0.5*COUNTIF(K5:BY5,"⚠️"))/(COUNTIF(K5:BY5,"✅")+COUNTIF(K5:BY5,"⚠️")+COUNTIF(K5:BY5,"❌")),"")</f>
        <v/>
      </c>
      <c r="J5" s="63">
        <f>COUNTIF(K5:BY5,"✅")+COUNTIF(K5:BY5,"⚠️")+COUNTIF(K5:BY5,"❌")+COUNTIF(K5:BY5,"➖")</f>
        <v/>
      </c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5" t="n"/>
      <c r="AI5" s="65" t="n"/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5" t="n"/>
      <c r="AV5" s="65" t="n"/>
      <c r="AW5" s="65" t="n"/>
      <c r="AX5" s="65" t="n"/>
      <c r="AY5" s="65" t="n"/>
      <c r="AZ5" s="65" t="n"/>
      <c r="BA5" s="65" t="n"/>
      <c r="BB5" s="65" t="n"/>
      <c r="BC5" s="65" t="n"/>
      <c r="BD5" s="65" t="n"/>
      <c r="BE5" s="65" t="n"/>
      <c r="BF5" s="65" t="n"/>
      <c r="BG5" s="65" t="n"/>
      <c r="BH5" s="65" t="n"/>
      <c r="BI5" s="65" t="n"/>
      <c r="BJ5" s="65" t="n"/>
      <c r="BK5" s="65" t="n"/>
      <c r="BL5" s="65" t="n"/>
      <c r="BM5" s="65" t="n"/>
      <c r="BN5" s="65" t="n"/>
      <c r="BO5" s="65" t="n"/>
      <c r="BP5" s="65" t="n"/>
      <c r="BQ5" s="65" t="n"/>
      <c r="BR5" s="65" t="n"/>
      <c r="BS5" s="65" t="n"/>
      <c r="BT5" s="65" t="n"/>
      <c r="BU5" s="65" t="n"/>
      <c r="BV5" s="65" t="n"/>
      <c r="BW5" s="65" t="n"/>
      <c r="BX5" s="65" t="n"/>
      <c r="BY5" s="65" t="n"/>
      <c r="BZ5" s="66" t="n"/>
      <c r="CA5" s="66" t="n"/>
    </row>
    <row r="6" ht="18" customHeight="1">
      <c r="A6" s="61" t="inlineStr">
        <is>
          <t>Claude Sonnet 5</t>
        </is>
      </c>
      <c r="B6" s="62" t="inlineStr">
        <is>
          <t>Anthropic</t>
        </is>
      </c>
      <c r="C6" s="62" t="inlineStr">
        <is>
          <t>Anthropic</t>
        </is>
      </c>
      <c r="D6" s="62" t="inlineStr">
        <is>
          <t>-</t>
        </is>
      </c>
      <c r="E6" s="62" t="inlineStr">
        <is>
          <t>-</t>
        </is>
      </c>
      <c r="F6" s="62" t="inlineStr">
        <is>
          <t>200k</t>
        </is>
      </c>
      <c r="G6" s="63" t="n"/>
      <c r="H6" s="62" t="inlineStr">
        <is>
          <t>Untested</t>
        </is>
      </c>
      <c r="I6" s="64">
        <f>IFERROR((COUNTIF(K6:BY6,"✅")+0.5*COUNTIF(K6:BY6,"⚠️"))/(COUNTIF(K6:BY6,"✅")+COUNTIF(K6:BY6,"⚠️")+COUNTIF(K6:BY6,"❌")),"")</f>
        <v/>
      </c>
      <c r="J6" s="63">
        <f>COUNTIF(K6:BY6,"✅")+COUNTIF(K6:BY6,"⚠️")+COUNTIF(K6:BY6,"❌")+COUNTIF(K6:BY6,"➖")</f>
        <v/>
      </c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  <c r="AF6" s="65" t="n"/>
      <c r="AG6" s="65" t="n"/>
      <c r="AH6" s="65" t="n"/>
      <c r="AI6" s="65" t="n"/>
      <c r="AJ6" s="65" t="n"/>
      <c r="AK6" s="65" t="n"/>
      <c r="AL6" s="65" t="n"/>
      <c r="AM6" s="65" t="n"/>
      <c r="AN6" s="65" t="n"/>
      <c r="AO6" s="65" t="n"/>
      <c r="AP6" s="65" t="n"/>
      <c r="AQ6" s="65" t="n"/>
      <c r="AR6" s="65" t="n"/>
      <c r="AS6" s="65" t="n"/>
      <c r="AT6" s="65" t="n"/>
      <c r="AU6" s="65" t="n"/>
      <c r="AV6" s="65" t="n"/>
      <c r="AW6" s="65" t="n"/>
      <c r="AX6" s="65" t="n"/>
      <c r="AY6" s="65" t="n"/>
      <c r="AZ6" s="65" t="n"/>
      <c r="BA6" s="65" t="n"/>
      <c r="BB6" s="65" t="n"/>
      <c r="BC6" s="65" t="n"/>
      <c r="BD6" s="65" t="n"/>
      <c r="BE6" s="65" t="n"/>
      <c r="BF6" s="65" t="n"/>
      <c r="BG6" s="65" t="n"/>
      <c r="BH6" s="65" t="n"/>
      <c r="BI6" s="65" t="n"/>
      <c r="BJ6" s="65" t="n"/>
      <c r="BK6" s="65" t="n"/>
      <c r="BL6" s="65" t="n"/>
      <c r="BM6" s="65" t="n"/>
      <c r="BN6" s="65" t="n"/>
      <c r="BO6" s="65" t="n"/>
      <c r="BP6" s="65" t="n"/>
      <c r="BQ6" s="65" t="n"/>
      <c r="BR6" s="65" t="n"/>
      <c r="BS6" s="65" t="n"/>
      <c r="BT6" s="65" t="n"/>
      <c r="BU6" s="65" t="n"/>
      <c r="BV6" s="65" t="n"/>
      <c r="BW6" s="65" t="n"/>
      <c r="BX6" s="65" t="n"/>
      <c r="BY6" s="65" t="n"/>
      <c r="BZ6" s="66" t="n"/>
      <c r="CA6" s="66" t="n"/>
    </row>
    <row r="7" ht="18" customHeight="1">
      <c r="A7" s="61" t="inlineStr">
        <is>
          <t>Claude Fable 5</t>
        </is>
      </c>
      <c r="B7" s="62" t="inlineStr">
        <is>
          <t>Anthropic</t>
        </is>
      </c>
      <c r="C7" s="62" t="inlineStr">
        <is>
          <t>Anthropic</t>
        </is>
      </c>
      <c r="D7" s="62" t="inlineStr">
        <is>
          <t>-</t>
        </is>
      </c>
      <c r="E7" s="62" t="inlineStr">
        <is>
          <t>-</t>
        </is>
      </c>
      <c r="F7" s="62" t="inlineStr">
        <is>
          <t>200k</t>
        </is>
      </c>
      <c r="G7" s="63" t="n"/>
      <c r="H7" s="62" t="inlineStr">
        <is>
          <t>Untested</t>
        </is>
      </c>
      <c r="I7" s="64">
        <f>IFERROR((COUNTIF(K7:BY7,"✅")+0.5*COUNTIF(K7:BY7,"⚠️"))/(COUNTIF(K7:BY7,"✅")+COUNTIF(K7:BY7,"⚠️")+COUNTIF(K7:BY7,"❌")),"")</f>
        <v/>
      </c>
      <c r="J7" s="63">
        <f>COUNTIF(K7:BY7,"✅")+COUNTIF(K7:BY7,"⚠️")+COUNTIF(K7:BY7,"❌")+COUNTIF(K7:BY7,"➖")</f>
        <v/>
      </c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5" t="n"/>
      <c r="AI7" s="65" t="n"/>
      <c r="AJ7" s="65" t="n"/>
      <c r="AK7" s="65" t="n"/>
      <c r="AL7" s="65" t="n"/>
      <c r="AM7" s="65" t="n"/>
      <c r="AN7" s="65" t="n"/>
      <c r="AO7" s="65" t="n"/>
      <c r="AP7" s="65" t="n"/>
      <c r="AQ7" s="65" t="n"/>
      <c r="AR7" s="65" t="n"/>
      <c r="AS7" s="65" t="n"/>
      <c r="AT7" s="65" t="n"/>
      <c r="AU7" s="65" t="n"/>
      <c r="AV7" s="65" t="n"/>
      <c r="AW7" s="65" t="n"/>
      <c r="AX7" s="65" t="n"/>
      <c r="AY7" s="65" t="n"/>
      <c r="AZ7" s="65" t="n"/>
      <c r="BA7" s="65" t="n"/>
      <c r="BB7" s="65" t="n"/>
      <c r="BC7" s="65" t="n"/>
      <c r="BD7" s="65" t="n"/>
      <c r="BE7" s="65" t="n"/>
      <c r="BF7" s="65" t="n"/>
      <c r="BG7" s="65" t="n"/>
      <c r="BH7" s="65" t="n"/>
      <c r="BI7" s="65" t="n"/>
      <c r="BJ7" s="65" t="n"/>
      <c r="BK7" s="65" t="n"/>
      <c r="BL7" s="65" t="n"/>
      <c r="BM7" s="65" t="n"/>
      <c r="BN7" s="65" t="n"/>
      <c r="BO7" s="65" t="n"/>
      <c r="BP7" s="65" t="n"/>
      <c r="BQ7" s="65" t="n"/>
      <c r="BR7" s="65" t="n"/>
      <c r="BS7" s="65" t="n"/>
      <c r="BT7" s="65" t="n"/>
      <c r="BU7" s="65" t="n"/>
      <c r="BV7" s="65" t="n"/>
      <c r="BW7" s="65" t="n"/>
      <c r="BX7" s="65" t="n"/>
      <c r="BY7" s="65" t="n"/>
      <c r="BZ7" s="66" t="n"/>
      <c r="CA7" s="66" t="n"/>
    </row>
    <row r="8" ht="18" customHeight="1">
      <c r="A8" s="61" t="inlineStr">
        <is>
          <t>Claude Haiku 4.5</t>
        </is>
      </c>
      <c r="B8" s="62" t="inlineStr">
        <is>
          <t>Anthropic</t>
        </is>
      </c>
      <c r="C8" s="62" t="inlineStr">
        <is>
          <t>Anthropic</t>
        </is>
      </c>
      <c r="D8" s="62" t="inlineStr">
        <is>
          <t>-</t>
        </is>
      </c>
      <c r="E8" s="62" t="inlineStr">
        <is>
          <t>-</t>
        </is>
      </c>
      <c r="F8" s="62" t="inlineStr">
        <is>
          <t>200k</t>
        </is>
      </c>
      <c r="G8" s="63" t="n"/>
      <c r="H8" s="62" t="inlineStr">
        <is>
          <t>Untested</t>
        </is>
      </c>
      <c r="I8" s="64">
        <f>IFERROR((COUNTIF(K8:BY8,"✅")+0.5*COUNTIF(K8:BY8,"⚠️"))/(COUNTIF(K8:BY8,"✅")+COUNTIF(K8:BY8,"⚠️")+COUNTIF(K8:BY8,"❌")),"")</f>
        <v/>
      </c>
      <c r="J8" s="63">
        <f>COUNTIF(K8:BY8,"✅")+COUNTIF(K8:BY8,"⚠️")+COUNTIF(K8:BY8,"❌")+COUNTIF(K8:BY8,"➖")</f>
        <v/>
      </c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  <c r="BL8" s="65" t="n"/>
      <c r="BM8" s="65" t="n"/>
      <c r="BN8" s="65" t="n"/>
      <c r="BO8" s="65" t="n"/>
      <c r="BP8" s="65" t="n"/>
      <c r="BQ8" s="65" t="n"/>
      <c r="BR8" s="65" t="n"/>
      <c r="BS8" s="65" t="n"/>
      <c r="BT8" s="65" t="n"/>
      <c r="BU8" s="65" t="n"/>
      <c r="BV8" s="65" t="n"/>
      <c r="BW8" s="65" t="n"/>
      <c r="BX8" s="65" t="n"/>
      <c r="BY8" s="65" t="n"/>
      <c r="BZ8" s="66" t="n"/>
      <c r="CA8" s="66" t="n"/>
    </row>
    <row r="9" ht="18" customHeight="1">
      <c r="A9" s="61" t="inlineStr">
        <is>
          <t>Claude Opus 4.8</t>
        </is>
      </c>
      <c r="B9" s="62" t="inlineStr">
        <is>
          <t>Anthropic</t>
        </is>
      </c>
      <c r="C9" s="62" t="inlineStr">
        <is>
          <t>Anthropic</t>
        </is>
      </c>
      <c r="D9" s="62" t="inlineStr">
        <is>
          <t>-</t>
        </is>
      </c>
      <c r="E9" s="62" t="inlineStr">
        <is>
          <t>-</t>
        </is>
      </c>
      <c r="F9" s="62" t="inlineStr">
        <is>
          <t>200k</t>
        </is>
      </c>
      <c r="G9" s="63" t="n"/>
      <c r="H9" s="62" t="inlineStr">
        <is>
          <t>Untested</t>
        </is>
      </c>
      <c r="I9" s="64">
        <f>IFERROR((COUNTIF(K9:BY9,"✅")+0.5*COUNTIF(K9:BY9,"⚠️"))/(COUNTIF(K9:BY9,"✅")+COUNTIF(K9:BY9,"⚠️")+COUNTIF(K9:BY9,"❌")),"")</f>
        <v/>
      </c>
      <c r="J9" s="63">
        <f>COUNTIF(K9:BY9,"✅")+COUNTIF(K9:BY9,"⚠️")+COUNTIF(K9:BY9,"❌")+COUNTIF(K9:BY9,"➖")</f>
        <v/>
      </c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  <c r="AF9" s="65" t="n"/>
      <c r="AG9" s="65" t="n"/>
      <c r="AH9" s="65" t="n"/>
      <c r="AI9" s="65" t="n"/>
      <c r="AJ9" s="65" t="n"/>
      <c r="AK9" s="65" t="n"/>
      <c r="AL9" s="65" t="n"/>
      <c r="AM9" s="65" t="n"/>
      <c r="AN9" s="65" t="n"/>
      <c r="AO9" s="65" t="n"/>
      <c r="AP9" s="65" t="n"/>
      <c r="AQ9" s="65" t="n"/>
      <c r="AR9" s="65" t="n"/>
      <c r="AS9" s="65" t="n"/>
      <c r="AT9" s="65" t="n"/>
      <c r="AU9" s="65" t="n"/>
      <c r="AV9" s="65" t="n"/>
      <c r="AW9" s="65" t="n"/>
      <c r="AX9" s="65" t="n"/>
      <c r="AY9" s="65" t="n"/>
      <c r="AZ9" s="65" t="n"/>
      <c r="BA9" s="65" t="n"/>
      <c r="BB9" s="65" t="n"/>
      <c r="BC9" s="65" t="n"/>
      <c r="BD9" s="65" t="n"/>
      <c r="BE9" s="65" t="n"/>
      <c r="BF9" s="65" t="n"/>
      <c r="BG9" s="65" t="n"/>
      <c r="BH9" s="65" t="n"/>
      <c r="BI9" s="65" t="n"/>
      <c r="BJ9" s="65" t="n"/>
      <c r="BK9" s="65" t="n"/>
      <c r="BL9" s="65" t="n"/>
      <c r="BM9" s="65" t="n"/>
      <c r="BN9" s="65" t="n"/>
      <c r="BO9" s="65" t="n"/>
      <c r="BP9" s="65" t="n"/>
      <c r="BQ9" s="65" t="n"/>
      <c r="BR9" s="65" t="n"/>
      <c r="BS9" s="65" t="n"/>
      <c r="BT9" s="65" t="n"/>
      <c r="BU9" s="65" t="n"/>
      <c r="BV9" s="65" t="n"/>
      <c r="BW9" s="65" t="n"/>
      <c r="BX9" s="65" t="n"/>
      <c r="BY9" s="65" t="n"/>
      <c r="BZ9" s="66" t="n"/>
      <c r="CA9" s="66" t="n"/>
    </row>
    <row r="10" ht="18" customHeight="1">
      <c r="A10" s="61" t="inlineStr">
        <is>
          <t>Claude Sonnet 4.6</t>
        </is>
      </c>
      <c r="B10" s="62" t="inlineStr">
        <is>
          <t>Anthropic</t>
        </is>
      </c>
      <c r="C10" s="62" t="inlineStr">
        <is>
          <t>Anthropic</t>
        </is>
      </c>
      <c r="D10" s="62" t="inlineStr">
        <is>
          <t>-</t>
        </is>
      </c>
      <c r="E10" s="62" t="inlineStr">
        <is>
          <t>-</t>
        </is>
      </c>
      <c r="F10" s="62" t="inlineStr">
        <is>
          <t>200k</t>
        </is>
      </c>
      <c r="G10" s="63" t="n"/>
      <c r="H10" s="62" t="inlineStr">
        <is>
          <t>Untested</t>
        </is>
      </c>
      <c r="I10" s="64">
        <f>IFERROR((COUNTIF(K10:BY10,"✅")+0.5*COUNTIF(K10:BY10,"⚠️"))/(COUNTIF(K10:BY10,"✅")+COUNTIF(K10:BY10,"⚠️")+COUNTIF(K10:BY10,"❌")),"")</f>
        <v/>
      </c>
      <c r="J10" s="63">
        <f>COUNTIF(K10:BY10,"✅")+COUNTIF(K10:BY10,"⚠️")+COUNTIF(K10:BY10,"❌")+COUNTIF(K10:BY10,"➖")</f>
        <v/>
      </c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5" t="n"/>
      <c r="AH10" s="65" t="n"/>
      <c r="AI10" s="65" t="n"/>
      <c r="AJ10" s="65" t="n"/>
      <c r="AK10" s="65" t="n"/>
      <c r="AL10" s="65" t="n"/>
      <c r="AM10" s="65" t="n"/>
      <c r="AN10" s="65" t="n"/>
      <c r="AO10" s="65" t="n"/>
      <c r="AP10" s="65" t="n"/>
      <c r="AQ10" s="65" t="n"/>
      <c r="AR10" s="65" t="n"/>
      <c r="AS10" s="65" t="n"/>
      <c r="AT10" s="65" t="n"/>
      <c r="AU10" s="65" t="n"/>
      <c r="AV10" s="65" t="n"/>
      <c r="AW10" s="65" t="n"/>
      <c r="AX10" s="65" t="n"/>
      <c r="AY10" s="65" t="n"/>
      <c r="AZ10" s="65" t="n"/>
      <c r="BA10" s="65" t="n"/>
      <c r="BB10" s="65" t="n"/>
      <c r="BC10" s="65" t="n"/>
      <c r="BD10" s="65" t="n"/>
      <c r="BE10" s="65" t="n"/>
      <c r="BF10" s="65" t="n"/>
      <c r="BG10" s="65" t="n"/>
      <c r="BH10" s="65" t="n"/>
      <c r="BI10" s="65" t="n"/>
      <c r="BJ10" s="65" t="n"/>
      <c r="BK10" s="65" t="n"/>
      <c r="BL10" s="65" t="n"/>
      <c r="BM10" s="65" t="n"/>
      <c r="BN10" s="65" t="n"/>
      <c r="BO10" s="65" t="n"/>
      <c r="BP10" s="65" t="n"/>
      <c r="BQ10" s="65" t="n"/>
      <c r="BR10" s="65" t="n"/>
      <c r="BS10" s="65" t="n"/>
      <c r="BT10" s="65" t="n"/>
      <c r="BU10" s="65" t="n"/>
      <c r="BV10" s="65" t="n"/>
      <c r="BW10" s="65" t="n"/>
      <c r="BX10" s="65" t="n"/>
      <c r="BY10" s="65" t="n"/>
      <c r="BZ10" s="66" t="n"/>
      <c r="CA10" s="66" t="n"/>
    </row>
    <row r="11" ht="18" customHeight="1">
      <c r="A11" s="61" t="inlineStr">
        <is>
          <t>GPT-5.1</t>
        </is>
      </c>
      <c r="B11" s="62" t="inlineStr">
        <is>
          <t>OpenAI</t>
        </is>
      </c>
      <c r="C11" s="62" t="inlineStr">
        <is>
          <t>OpenAI</t>
        </is>
      </c>
      <c r="D11" s="62" t="inlineStr">
        <is>
          <t>-</t>
        </is>
      </c>
      <c r="E11" s="62" t="inlineStr">
        <is>
          <t>-</t>
        </is>
      </c>
      <c r="F11" s="62" t="inlineStr">
        <is>
          <t>400k</t>
        </is>
      </c>
      <c r="G11" s="63" t="n"/>
      <c r="H11" s="62" t="inlineStr">
        <is>
          <t>Untested</t>
        </is>
      </c>
      <c r="I11" s="64">
        <f>IFERROR((COUNTIF(K11:BY11,"✅")+0.5*COUNTIF(K11:BY11,"⚠️"))/(COUNTIF(K11:BY11,"✅")+COUNTIF(K11:BY11,"⚠️")+COUNTIF(K11:BY11,"❌")),"")</f>
        <v/>
      </c>
      <c r="J11" s="63">
        <f>COUNTIF(K11:BY11,"✅")+COUNTIF(K11:BY11,"⚠️")+COUNTIF(K11:BY11,"❌")+COUNTIF(K11:BY11,"➖")</f>
        <v/>
      </c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5" t="n"/>
      <c r="AG11" s="65" t="n"/>
      <c r="AH11" s="65" t="n"/>
      <c r="AI11" s="65" t="n"/>
      <c r="AJ11" s="65" t="n"/>
      <c r="AK11" s="65" t="n"/>
      <c r="AL11" s="65" t="n"/>
      <c r="AM11" s="65" t="n"/>
      <c r="AN11" s="65" t="n"/>
      <c r="AO11" s="65" t="n"/>
      <c r="AP11" s="65" t="n"/>
      <c r="AQ11" s="65" t="n"/>
      <c r="AR11" s="65" t="n"/>
      <c r="AS11" s="65" t="n"/>
      <c r="AT11" s="65" t="n"/>
      <c r="AU11" s="65" t="n"/>
      <c r="AV11" s="65" t="n"/>
      <c r="AW11" s="65" t="n"/>
      <c r="AX11" s="65" t="n"/>
      <c r="AY11" s="65" t="n"/>
      <c r="AZ11" s="65" t="n"/>
      <c r="BA11" s="65" t="n"/>
      <c r="BB11" s="65" t="n"/>
      <c r="BC11" s="65" t="n"/>
      <c r="BD11" s="65" t="n"/>
      <c r="BE11" s="65" t="n"/>
      <c r="BF11" s="65" t="n"/>
      <c r="BG11" s="65" t="n"/>
      <c r="BH11" s="65" t="n"/>
      <c r="BI11" s="65" t="n"/>
      <c r="BJ11" s="65" t="n"/>
      <c r="BK11" s="65" t="n"/>
      <c r="BL11" s="65" t="n"/>
      <c r="BM11" s="65" t="n"/>
      <c r="BN11" s="65" t="n"/>
      <c r="BO11" s="65" t="n"/>
      <c r="BP11" s="65" t="n"/>
      <c r="BQ11" s="65" t="n"/>
      <c r="BR11" s="65" t="n"/>
      <c r="BS11" s="65" t="n"/>
      <c r="BT11" s="65" t="n"/>
      <c r="BU11" s="65" t="n"/>
      <c r="BV11" s="65" t="n"/>
      <c r="BW11" s="65" t="n"/>
      <c r="BX11" s="65" t="n"/>
      <c r="BY11" s="65" t="n"/>
      <c r="BZ11" s="66" t="n"/>
      <c r="CA11" s="66" t="n"/>
    </row>
    <row r="12" ht="18" customHeight="1">
      <c r="A12" s="61" t="inlineStr">
        <is>
          <t>GPT-5.1 mini</t>
        </is>
      </c>
      <c r="B12" s="62" t="inlineStr">
        <is>
          <t>OpenAI</t>
        </is>
      </c>
      <c r="C12" s="62" t="inlineStr">
        <is>
          <t>OpenAI</t>
        </is>
      </c>
      <c r="D12" s="62" t="inlineStr">
        <is>
          <t>-</t>
        </is>
      </c>
      <c r="E12" s="62" t="inlineStr">
        <is>
          <t>-</t>
        </is>
      </c>
      <c r="F12" s="62" t="inlineStr">
        <is>
          <t>400k</t>
        </is>
      </c>
      <c r="G12" s="63" t="n"/>
      <c r="H12" s="62" t="inlineStr">
        <is>
          <t>Untested</t>
        </is>
      </c>
      <c r="I12" s="64">
        <f>IFERROR((COUNTIF(K12:BY12,"✅")+0.5*COUNTIF(K12:BY12,"⚠️"))/(COUNTIF(K12:BY12,"✅")+COUNTIF(K12:BY12,"⚠️")+COUNTIF(K12:BY12,"❌")),"")</f>
        <v/>
      </c>
      <c r="J12" s="63">
        <f>COUNTIF(K12:BY12,"✅")+COUNTIF(K12:BY12,"⚠️")+COUNTIF(K12:BY12,"❌")+COUNTIF(K12:BY12,"➖")</f>
        <v/>
      </c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5" t="n"/>
      <c r="AI12" s="65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65" t="n"/>
      <c r="AX12" s="65" t="n"/>
      <c r="AY12" s="65" t="n"/>
      <c r="AZ12" s="65" t="n"/>
      <c r="BA12" s="65" t="n"/>
      <c r="BB12" s="65" t="n"/>
      <c r="BC12" s="65" t="n"/>
      <c r="BD12" s="65" t="n"/>
      <c r="BE12" s="65" t="n"/>
      <c r="BF12" s="65" t="n"/>
      <c r="BG12" s="65" t="n"/>
      <c r="BH12" s="65" t="n"/>
      <c r="BI12" s="65" t="n"/>
      <c r="BJ12" s="65" t="n"/>
      <c r="BK12" s="65" t="n"/>
      <c r="BL12" s="65" t="n"/>
      <c r="BM12" s="65" t="n"/>
      <c r="BN12" s="65" t="n"/>
      <c r="BO12" s="65" t="n"/>
      <c r="BP12" s="65" t="n"/>
      <c r="BQ12" s="65" t="n"/>
      <c r="BR12" s="65" t="n"/>
      <c r="BS12" s="65" t="n"/>
      <c r="BT12" s="65" t="n"/>
      <c r="BU12" s="65" t="n"/>
      <c r="BV12" s="65" t="n"/>
      <c r="BW12" s="65" t="n"/>
      <c r="BX12" s="65" t="n"/>
      <c r="BY12" s="65" t="n"/>
      <c r="BZ12" s="66" t="n"/>
      <c r="CA12" s="66" t="n"/>
    </row>
    <row r="13" ht="18" customHeight="1">
      <c r="A13" s="61" t="inlineStr">
        <is>
          <t>GPT-5</t>
        </is>
      </c>
      <c r="B13" s="62" t="inlineStr">
        <is>
          <t>OpenAI</t>
        </is>
      </c>
      <c r="C13" s="62" t="inlineStr">
        <is>
          <t>OpenAI</t>
        </is>
      </c>
      <c r="D13" s="62" t="inlineStr">
        <is>
          <t>-</t>
        </is>
      </c>
      <c r="E13" s="62" t="inlineStr">
        <is>
          <t>-</t>
        </is>
      </c>
      <c r="F13" s="62" t="inlineStr">
        <is>
          <t>400k</t>
        </is>
      </c>
      <c r="G13" s="63" t="n"/>
      <c r="H13" s="62" t="inlineStr">
        <is>
          <t>Untested</t>
        </is>
      </c>
      <c r="I13" s="64">
        <f>IFERROR((COUNTIF(K13:BY13,"✅")+0.5*COUNTIF(K13:BY13,"⚠️"))/(COUNTIF(K13:BY13,"✅")+COUNTIF(K13:BY13,"⚠️")+COUNTIF(K13:BY13,"❌")),"")</f>
        <v/>
      </c>
      <c r="J13" s="63">
        <f>COUNTIF(K13:BY13,"✅")+COUNTIF(K13:BY13,"⚠️")+COUNTIF(K13:BY13,"❌")+COUNTIF(K13:BY13,"➖")</f>
        <v/>
      </c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5" t="n"/>
      <c r="AI13" s="65" t="n"/>
      <c r="AJ13" s="65" t="n"/>
      <c r="AK13" s="65" t="n"/>
      <c r="AL13" s="65" t="n"/>
      <c r="AM13" s="65" t="n"/>
      <c r="AN13" s="65" t="n"/>
      <c r="AO13" s="65" t="n"/>
      <c r="AP13" s="65" t="n"/>
      <c r="AQ13" s="65" t="n"/>
      <c r="AR13" s="65" t="n"/>
      <c r="AS13" s="65" t="n"/>
      <c r="AT13" s="65" t="n"/>
      <c r="AU13" s="65" t="n"/>
      <c r="AV13" s="65" t="n"/>
      <c r="AW13" s="65" t="n"/>
      <c r="AX13" s="65" t="n"/>
      <c r="AY13" s="65" t="n"/>
      <c r="AZ13" s="65" t="n"/>
      <c r="BA13" s="65" t="n"/>
      <c r="BB13" s="65" t="n"/>
      <c r="BC13" s="65" t="n"/>
      <c r="BD13" s="65" t="n"/>
      <c r="BE13" s="65" t="n"/>
      <c r="BF13" s="65" t="n"/>
      <c r="BG13" s="65" t="n"/>
      <c r="BH13" s="65" t="n"/>
      <c r="BI13" s="65" t="n"/>
      <c r="BJ13" s="65" t="n"/>
      <c r="BK13" s="65" t="n"/>
      <c r="BL13" s="65" t="n"/>
      <c r="BM13" s="65" t="n"/>
      <c r="BN13" s="65" t="n"/>
      <c r="BO13" s="65" t="n"/>
      <c r="BP13" s="65" t="n"/>
      <c r="BQ13" s="65" t="n"/>
      <c r="BR13" s="65" t="n"/>
      <c r="BS13" s="65" t="n"/>
      <c r="BT13" s="65" t="n"/>
      <c r="BU13" s="65" t="n"/>
      <c r="BV13" s="65" t="n"/>
      <c r="BW13" s="65" t="n"/>
      <c r="BX13" s="65" t="n"/>
      <c r="BY13" s="65" t="n"/>
      <c r="BZ13" s="66" t="n"/>
      <c r="CA13" s="66" t="n"/>
    </row>
    <row r="14" ht="18" customHeight="1">
      <c r="A14" s="61" t="inlineStr">
        <is>
          <t>GPT-4.1</t>
        </is>
      </c>
      <c r="B14" s="62" t="inlineStr">
        <is>
          <t>OpenAI</t>
        </is>
      </c>
      <c r="C14" s="62" t="inlineStr">
        <is>
          <t>OpenAI</t>
        </is>
      </c>
      <c r="D14" s="62" t="inlineStr">
        <is>
          <t>-</t>
        </is>
      </c>
      <c r="E14" s="62" t="inlineStr">
        <is>
          <t>-</t>
        </is>
      </c>
      <c r="F14" s="62" t="inlineStr">
        <is>
          <t>1M</t>
        </is>
      </c>
      <c r="G14" s="63" t="n"/>
      <c r="H14" s="62" t="inlineStr">
        <is>
          <t>Untested</t>
        </is>
      </c>
      <c r="I14" s="64">
        <f>IFERROR((COUNTIF(K14:BY14,"✅")+0.5*COUNTIF(K14:BY14,"⚠️"))/(COUNTIF(K14:BY14,"✅")+COUNTIF(K14:BY14,"⚠️")+COUNTIF(K14:BY14,"❌")),"")</f>
        <v/>
      </c>
      <c r="J14" s="63">
        <f>COUNTIF(K14:BY14,"✅")+COUNTIF(K14:BY14,"⚠️")+COUNTIF(K14:BY14,"❌")+COUNTIF(K14:BY14,"➖")</f>
        <v/>
      </c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5" t="n"/>
      <c r="AI14" s="65" t="n"/>
      <c r="AJ14" s="65" t="n"/>
      <c r="AK14" s="65" t="n"/>
      <c r="AL14" s="65" t="n"/>
      <c r="AM14" s="65" t="n"/>
      <c r="AN14" s="65" t="n"/>
      <c r="AO14" s="65" t="n"/>
      <c r="AP14" s="65" t="n"/>
      <c r="AQ14" s="65" t="n"/>
      <c r="AR14" s="65" t="n"/>
      <c r="AS14" s="65" t="n"/>
      <c r="AT14" s="65" t="n"/>
      <c r="AU14" s="65" t="n"/>
      <c r="AV14" s="65" t="n"/>
      <c r="AW14" s="65" t="n"/>
      <c r="AX14" s="65" t="n"/>
      <c r="AY14" s="65" t="n"/>
      <c r="AZ14" s="65" t="n"/>
      <c r="BA14" s="65" t="n"/>
      <c r="BB14" s="65" t="n"/>
      <c r="BC14" s="65" t="n"/>
      <c r="BD14" s="65" t="n"/>
      <c r="BE14" s="65" t="n"/>
      <c r="BF14" s="65" t="n"/>
      <c r="BG14" s="65" t="n"/>
      <c r="BH14" s="65" t="n"/>
      <c r="BI14" s="65" t="n"/>
      <c r="BJ14" s="65" t="n"/>
      <c r="BK14" s="65" t="n"/>
      <c r="BL14" s="65" t="n"/>
      <c r="BM14" s="65" t="n"/>
      <c r="BN14" s="65" t="n"/>
      <c r="BO14" s="65" t="n"/>
      <c r="BP14" s="65" t="n"/>
      <c r="BQ14" s="65" t="n"/>
      <c r="BR14" s="65" t="n"/>
      <c r="BS14" s="65" t="n"/>
      <c r="BT14" s="65" t="n"/>
      <c r="BU14" s="65" t="n"/>
      <c r="BV14" s="65" t="n"/>
      <c r="BW14" s="65" t="n"/>
      <c r="BX14" s="65" t="n"/>
      <c r="BY14" s="65" t="n"/>
      <c r="BZ14" s="66" t="n"/>
      <c r="CA14" s="66" t="n"/>
    </row>
    <row r="15" ht="18" customHeight="1">
      <c r="A15" s="61" t="inlineStr">
        <is>
          <t>GPT-4.1 mini</t>
        </is>
      </c>
      <c r="B15" s="62" t="inlineStr">
        <is>
          <t>OpenAI</t>
        </is>
      </c>
      <c r="C15" s="62" t="inlineStr">
        <is>
          <t>OpenAI</t>
        </is>
      </c>
      <c r="D15" s="62" t="inlineStr">
        <is>
          <t>-</t>
        </is>
      </c>
      <c r="E15" s="62" t="inlineStr">
        <is>
          <t>-</t>
        </is>
      </c>
      <c r="F15" s="62" t="inlineStr">
        <is>
          <t>1M</t>
        </is>
      </c>
      <c r="G15" s="63" t="n"/>
      <c r="H15" s="62" t="inlineStr">
        <is>
          <t>Untested</t>
        </is>
      </c>
      <c r="I15" s="64">
        <f>IFERROR((COUNTIF(K15:BY15,"✅")+0.5*COUNTIF(K15:BY15,"⚠️"))/(COUNTIF(K15:BY15,"✅")+COUNTIF(K15:BY15,"⚠️")+COUNTIF(K15:BY15,"❌")),"")</f>
        <v/>
      </c>
      <c r="J15" s="63">
        <f>COUNTIF(K15:BY15,"✅")+COUNTIF(K15:BY15,"⚠️")+COUNTIF(K15:BY15,"❌")+COUNTIF(K15:BY15,"➖")</f>
        <v/>
      </c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6" t="n"/>
      <c r="CA15" s="66" t="n"/>
    </row>
    <row r="16" ht="18" customHeight="1">
      <c r="A16" s="61" t="inlineStr">
        <is>
          <t>gpt-oss-120b</t>
        </is>
      </c>
      <c r="B16" s="62" t="inlineStr">
        <is>
          <t>OpenAI</t>
        </is>
      </c>
      <c r="C16" s="62" t="inlineStr">
        <is>
          <t>Groq</t>
        </is>
      </c>
      <c r="D16" s="62" t="inlineStr">
        <is>
          <t>MXFP4</t>
        </is>
      </c>
      <c r="E16" s="62" t="inlineStr">
        <is>
          <t>117B</t>
        </is>
      </c>
      <c r="F16" s="62" t="inlineStr">
        <is>
          <t>131k</t>
        </is>
      </c>
      <c r="G16" s="63" t="n"/>
      <c r="H16" s="62" t="inlineStr">
        <is>
          <t>Untested</t>
        </is>
      </c>
      <c r="I16" s="64">
        <f>IFERROR((COUNTIF(K16:BY16,"✅")+0.5*COUNTIF(K16:BY16,"⚠️"))/(COUNTIF(K16:BY16,"✅")+COUNTIF(K16:BY16,"⚠️")+COUNTIF(K16:BY16,"❌")),"")</f>
        <v/>
      </c>
      <c r="J16" s="63">
        <f>COUNTIF(K16:BY16,"✅")+COUNTIF(K16:BY16,"⚠️")+COUNTIF(K16:BY16,"❌")+COUNTIF(K16:BY16,"➖")</f>
        <v/>
      </c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  <c r="AO16" s="65" t="n"/>
      <c r="AP16" s="65" t="n"/>
      <c r="AQ16" s="65" t="n"/>
      <c r="AR16" s="65" t="n"/>
      <c r="AS16" s="65" t="n"/>
      <c r="AT16" s="65" t="n"/>
      <c r="AU16" s="65" t="n"/>
      <c r="AV16" s="65" t="n"/>
      <c r="AW16" s="65" t="n"/>
      <c r="AX16" s="65" t="n"/>
      <c r="AY16" s="65" t="n"/>
      <c r="AZ16" s="65" t="n"/>
      <c r="BA16" s="65" t="n"/>
      <c r="BB16" s="65" t="n"/>
      <c r="BC16" s="65" t="n"/>
      <c r="BD16" s="65" t="n"/>
      <c r="BE16" s="65" t="n"/>
      <c r="BF16" s="65" t="n"/>
      <c r="BG16" s="65" t="n"/>
      <c r="BH16" s="65" t="n"/>
      <c r="BI16" s="65" t="n"/>
      <c r="BJ16" s="65" t="n"/>
      <c r="BK16" s="65" t="n"/>
      <c r="BL16" s="65" t="n"/>
      <c r="BM16" s="65" t="n"/>
      <c r="BN16" s="65" t="n"/>
      <c r="BO16" s="65" t="n"/>
      <c r="BP16" s="65" t="n"/>
      <c r="BQ16" s="65" t="n"/>
      <c r="BR16" s="65" t="n"/>
      <c r="BS16" s="65" t="n"/>
      <c r="BT16" s="65" t="n"/>
      <c r="BU16" s="65" t="n"/>
      <c r="BV16" s="65" t="n"/>
      <c r="BW16" s="65" t="n"/>
      <c r="BX16" s="65" t="n"/>
      <c r="BY16" s="65" t="n"/>
      <c r="BZ16" s="66" t="n"/>
      <c r="CA16" s="66" t="n"/>
    </row>
    <row r="17" ht="18" customHeight="1">
      <c r="A17" s="61" t="inlineStr">
        <is>
          <t>gpt-oss-20b</t>
        </is>
      </c>
      <c r="B17" s="62" t="inlineStr">
        <is>
          <t>OpenAI</t>
        </is>
      </c>
      <c r="C17" s="62" t="inlineStr">
        <is>
          <t>Groq</t>
        </is>
      </c>
      <c r="D17" s="62" t="inlineStr">
        <is>
          <t>MXFP4</t>
        </is>
      </c>
      <c r="E17" s="62" t="inlineStr">
        <is>
          <t>21B</t>
        </is>
      </c>
      <c r="F17" s="62" t="inlineStr">
        <is>
          <t>131k</t>
        </is>
      </c>
      <c r="G17" s="63" t="n"/>
      <c r="H17" s="62" t="inlineStr">
        <is>
          <t>Untested</t>
        </is>
      </c>
      <c r="I17" s="64">
        <f>IFERROR((COUNTIF(K17:BY17,"✅")+0.5*COUNTIF(K17:BY17,"⚠️"))/(COUNTIF(K17:BY17,"✅")+COUNTIF(K17:BY17,"⚠️")+COUNTIF(K17:BY17,"❌")),"")</f>
        <v/>
      </c>
      <c r="J17" s="63">
        <f>COUNTIF(K17:BY17,"✅")+COUNTIF(K17:BY17,"⚠️")+COUNTIF(K17:BY17,"❌")+COUNTIF(K17:BY17,"➖")</f>
        <v/>
      </c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5" t="n"/>
      <c r="AI17" s="65" t="n"/>
      <c r="AJ17" s="65" t="n"/>
      <c r="AK17" s="65" t="n"/>
      <c r="AL17" s="65" t="n"/>
      <c r="AM17" s="65" t="n"/>
      <c r="AN17" s="65" t="n"/>
      <c r="AO17" s="65" t="n"/>
      <c r="AP17" s="65" t="n"/>
      <c r="AQ17" s="65" t="n"/>
      <c r="AR17" s="65" t="n"/>
      <c r="AS17" s="65" t="n"/>
      <c r="AT17" s="65" t="n"/>
      <c r="AU17" s="65" t="n"/>
      <c r="AV17" s="65" t="n"/>
      <c r="AW17" s="65" t="n"/>
      <c r="AX17" s="65" t="n"/>
      <c r="AY17" s="65" t="n"/>
      <c r="AZ17" s="65" t="n"/>
      <c r="BA17" s="65" t="n"/>
      <c r="BB17" s="65" t="n"/>
      <c r="BC17" s="65" t="n"/>
      <c r="BD17" s="65" t="n"/>
      <c r="BE17" s="65" t="n"/>
      <c r="BF17" s="65" t="n"/>
      <c r="BG17" s="65" t="n"/>
      <c r="BH17" s="65" t="n"/>
      <c r="BI17" s="65" t="n"/>
      <c r="BJ17" s="65" t="n"/>
      <c r="BK17" s="65" t="n"/>
      <c r="BL17" s="65" t="n"/>
      <c r="BM17" s="65" t="n"/>
      <c r="BN17" s="65" t="n"/>
      <c r="BO17" s="65" t="n"/>
      <c r="BP17" s="65" t="n"/>
      <c r="BQ17" s="65" t="n"/>
      <c r="BR17" s="65" t="n"/>
      <c r="BS17" s="65" t="n"/>
      <c r="BT17" s="65" t="n"/>
      <c r="BU17" s="65" t="n"/>
      <c r="BV17" s="65" t="n"/>
      <c r="BW17" s="65" t="n"/>
      <c r="BX17" s="65" t="n"/>
      <c r="BY17" s="65" t="n"/>
      <c r="BZ17" s="66" t="n"/>
      <c r="CA17" s="66" t="n"/>
    </row>
    <row r="18" ht="18" customHeight="1">
      <c r="A18" s="61" t="inlineStr">
        <is>
          <t>Gemini 3 Pro</t>
        </is>
      </c>
      <c r="B18" s="62" t="inlineStr">
        <is>
          <t>Google</t>
        </is>
      </c>
      <c r="C18" s="62" t="inlineStr">
        <is>
          <t>OpenRouter</t>
        </is>
      </c>
      <c r="D18" s="62" t="inlineStr">
        <is>
          <t>-</t>
        </is>
      </c>
      <c r="E18" s="62" t="inlineStr">
        <is>
          <t>-</t>
        </is>
      </c>
      <c r="F18" s="62" t="inlineStr">
        <is>
          <t>1M</t>
        </is>
      </c>
      <c r="G18" s="63" t="n"/>
      <c r="H18" s="62" t="inlineStr">
        <is>
          <t>Untested</t>
        </is>
      </c>
      <c r="I18" s="64">
        <f>IFERROR((COUNTIF(K18:BY18,"✅")+0.5*COUNTIF(K18:BY18,"⚠️"))/(COUNTIF(K18:BY18,"✅")+COUNTIF(K18:BY18,"⚠️")+COUNTIF(K18:BY18,"❌")),"")</f>
        <v/>
      </c>
      <c r="J18" s="63">
        <f>COUNTIF(K18:BY18,"✅")+COUNTIF(K18:BY18,"⚠️")+COUNTIF(K18:BY18,"❌")+COUNTIF(K18:BY18,"➖")</f>
        <v/>
      </c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5" t="n"/>
      <c r="AG18" s="65" t="n"/>
      <c r="AH18" s="65" t="n"/>
      <c r="AI18" s="65" t="n"/>
      <c r="AJ18" s="65" t="n"/>
      <c r="AK18" s="65" t="n"/>
      <c r="AL18" s="65" t="n"/>
      <c r="AM18" s="65" t="n"/>
      <c r="AN18" s="65" t="n"/>
      <c r="AO18" s="65" t="n"/>
      <c r="AP18" s="65" t="n"/>
      <c r="AQ18" s="65" t="n"/>
      <c r="AR18" s="65" t="n"/>
      <c r="AS18" s="65" t="n"/>
      <c r="AT18" s="65" t="n"/>
      <c r="AU18" s="65" t="n"/>
      <c r="AV18" s="65" t="n"/>
      <c r="AW18" s="65" t="n"/>
      <c r="AX18" s="65" t="n"/>
      <c r="AY18" s="65" t="n"/>
      <c r="AZ18" s="65" t="n"/>
      <c r="BA18" s="65" t="n"/>
      <c r="BB18" s="65" t="n"/>
      <c r="BC18" s="65" t="n"/>
      <c r="BD18" s="65" t="n"/>
      <c r="BE18" s="65" t="n"/>
      <c r="BF18" s="65" t="n"/>
      <c r="BG18" s="65" t="n"/>
      <c r="BH18" s="65" t="n"/>
      <c r="BI18" s="65" t="n"/>
      <c r="BJ18" s="65" t="n"/>
      <c r="BK18" s="65" t="n"/>
      <c r="BL18" s="65" t="n"/>
      <c r="BM18" s="65" t="n"/>
      <c r="BN18" s="65" t="n"/>
      <c r="BO18" s="65" t="n"/>
      <c r="BP18" s="65" t="n"/>
      <c r="BQ18" s="65" t="n"/>
      <c r="BR18" s="65" t="n"/>
      <c r="BS18" s="65" t="n"/>
      <c r="BT18" s="65" t="n"/>
      <c r="BU18" s="65" t="n"/>
      <c r="BV18" s="65" t="n"/>
      <c r="BW18" s="65" t="n"/>
      <c r="BX18" s="65" t="n"/>
      <c r="BY18" s="65" t="n"/>
      <c r="BZ18" s="66" t="n"/>
      <c r="CA18" s="66" t="n"/>
    </row>
    <row r="19" ht="18" customHeight="1">
      <c r="A19" s="61" t="inlineStr">
        <is>
          <t>Gemini 3 Flash</t>
        </is>
      </c>
      <c r="B19" s="62" t="inlineStr">
        <is>
          <t>Google</t>
        </is>
      </c>
      <c r="C19" s="62" t="inlineStr">
        <is>
          <t>OpenRouter</t>
        </is>
      </c>
      <c r="D19" s="62" t="inlineStr">
        <is>
          <t>-</t>
        </is>
      </c>
      <c r="E19" s="62" t="inlineStr">
        <is>
          <t>-</t>
        </is>
      </c>
      <c r="F19" s="62" t="inlineStr">
        <is>
          <t>1M</t>
        </is>
      </c>
      <c r="G19" s="63" t="n"/>
      <c r="H19" s="62" t="inlineStr">
        <is>
          <t>Untested</t>
        </is>
      </c>
      <c r="I19" s="64">
        <f>IFERROR((COUNTIF(K19:BY19,"✅")+0.5*COUNTIF(K19:BY19,"⚠️"))/(COUNTIF(K19:BY19,"✅")+COUNTIF(K19:BY19,"⚠️")+COUNTIF(K19:BY19,"❌")),"")</f>
        <v/>
      </c>
      <c r="J19" s="63">
        <f>COUNTIF(K19:BY19,"✅")+COUNTIF(K19:BY19,"⚠️")+COUNTIF(K19:BY19,"❌")+COUNTIF(K19:BY19,"➖")</f>
        <v/>
      </c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  <c r="AP19" s="65" t="n"/>
      <c r="AQ19" s="65" t="n"/>
      <c r="AR19" s="65" t="n"/>
      <c r="AS19" s="65" t="n"/>
      <c r="AT19" s="65" t="n"/>
      <c r="AU19" s="65" t="n"/>
      <c r="AV19" s="65" t="n"/>
      <c r="AW19" s="65" t="n"/>
      <c r="AX19" s="65" t="n"/>
      <c r="AY19" s="65" t="n"/>
      <c r="AZ19" s="65" t="n"/>
      <c r="BA19" s="65" t="n"/>
      <c r="BB19" s="65" t="n"/>
      <c r="BC19" s="65" t="n"/>
      <c r="BD19" s="65" t="n"/>
      <c r="BE19" s="65" t="n"/>
      <c r="BF19" s="65" t="n"/>
      <c r="BG19" s="65" t="n"/>
      <c r="BH19" s="65" t="n"/>
      <c r="BI19" s="65" t="n"/>
      <c r="BJ19" s="65" t="n"/>
      <c r="BK19" s="65" t="n"/>
      <c r="BL19" s="65" t="n"/>
      <c r="BM19" s="65" t="n"/>
      <c r="BN19" s="65" t="n"/>
      <c r="BO19" s="65" t="n"/>
      <c r="BP19" s="65" t="n"/>
      <c r="BQ19" s="65" t="n"/>
      <c r="BR19" s="65" t="n"/>
      <c r="BS19" s="65" t="n"/>
      <c r="BT19" s="65" t="n"/>
      <c r="BU19" s="65" t="n"/>
      <c r="BV19" s="65" t="n"/>
      <c r="BW19" s="65" t="n"/>
      <c r="BX19" s="65" t="n"/>
      <c r="BY19" s="65" t="n"/>
      <c r="BZ19" s="66" t="n"/>
      <c r="CA19" s="66" t="n"/>
    </row>
    <row r="20" ht="18" customHeight="1">
      <c r="A20" s="61" t="inlineStr">
        <is>
          <t>Gemini 2.5 Pro</t>
        </is>
      </c>
      <c r="B20" s="62" t="inlineStr">
        <is>
          <t>Google</t>
        </is>
      </c>
      <c r="C20" s="62" t="inlineStr">
        <is>
          <t>OpenRouter</t>
        </is>
      </c>
      <c r="D20" s="62" t="inlineStr">
        <is>
          <t>-</t>
        </is>
      </c>
      <c r="E20" s="62" t="inlineStr">
        <is>
          <t>-</t>
        </is>
      </c>
      <c r="F20" s="62" t="inlineStr">
        <is>
          <t>1M</t>
        </is>
      </c>
      <c r="G20" s="63" t="n"/>
      <c r="H20" s="62" t="inlineStr">
        <is>
          <t>Untested</t>
        </is>
      </c>
      <c r="I20" s="64">
        <f>IFERROR((COUNTIF(K20:BY20,"✅")+0.5*COUNTIF(K20:BY20,"⚠️"))/(COUNTIF(K20:BY20,"✅")+COUNTIF(K20:BY20,"⚠️")+COUNTIF(K20:BY20,"❌")),"")</f>
        <v/>
      </c>
      <c r="J20" s="63">
        <f>COUNTIF(K20:BY20,"✅")+COUNTIF(K20:BY20,"⚠️")+COUNTIF(K20:BY20,"❌")+COUNTIF(K20:BY20,"➖")</f>
        <v/>
      </c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  <c r="AP20" s="65" t="n"/>
      <c r="AQ20" s="65" t="n"/>
      <c r="AR20" s="65" t="n"/>
      <c r="AS20" s="65" t="n"/>
      <c r="AT20" s="65" t="n"/>
      <c r="AU20" s="65" t="n"/>
      <c r="AV20" s="65" t="n"/>
      <c r="AW20" s="65" t="n"/>
      <c r="AX20" s="65" t="n"/>
      <c r="AY20" s="65" t="n"/>
      <c r="AZ20" s="65" t="n"/>
      <c r="BA20" s="65" t="n"/>
      <c r="BB20" s="65" t="n"/>
      <c r="BC20" s="65" t="n"/>
      <c r="BD20" s="65" t="n"/>
      <c r="BE20" s="65" t="n"/>
      <c r="BF20" s="65" t="n"/>
      <c r="BG20" s="65" t="n"/>
      <c r="BH20" s="65" t="n"/>
      <c r="BI20" s="65" t="n"/>
      <c r="BJ20" s="65" t="n"/>
      <c r="BK20" s="65" t="n"/>
      <c r="BL20" s="65" t="n"/>
      <c r="BM20" s="65" t="n"/>
      <c r="BN20" s="65" t="n"/>
      <c r="BO20" s="65" t="n"/>
      <c r="BP20" s="65" t="n"/>
      <c r="BQ20" s="65" t="n"/>
      <c r="BR20" s="65" t="n"/>
      <c r="BS20" s="65" t="n"/>
      <c r="BT20" s="65" t="n"/>
      <c r="BU20" s="65" t="n"/>
      <c r="BV20" s="65" t="n"/>
      <c r="BW20" s="65" t="n"/>
      <c r="BX20" s="65" t="n"/>
      <c r="BY20" s="65" t="n"/>
      <c r="BZ20" s="66" t="n"/>
      <c r="CA20" s="66" t="n"/>
    </row>
    <row r="21" ht="18" customHeight="1">
      <c r="A21" s="61" t="inlineStr">
        <is>
          <t>Gemini 2.5 Flash</t>
        </is>
      </c>
      <c r="B21" s="62" t="inlineStr">
        <is>
          <t>Google</t>
        </is>
      </c>
      <c r="C21" s="62" t="inlineStr">
        <is>
          <t>OpenRouter</t>
        </is>
      </c>
      <c r="D21" s="62" t="inlineStr">
        <is>
          <t>-</t>
        </is>
      </c>
      <c r="E21" s="62" t="inlineStr">
        <is>
          <t>-</t>
        </is>
      </c>
      <c r="F21" s="62" t="inlineStr">
        <is>
          <t>1M</t>
        </is>
      </c>
      <c r="G21" s="63" t="n"/>
      <c r="H21" s="62" t="inlineStr">
        <is>
          <t>Untested</t>
        </is>
      </c>
      <c r="I21" s="64">
        <f>IFERROR((COUNTIF(K21:BY21,"✅")+0.5*COUNTIF(K21:BY21,"⚠️"))/(COUNTIF(K21:BY21,"✅")+COUNTIF(K21:BY21,"⚠️")+COUNTIF(K21:BY21,"❌")),"")</f>
        <v/>
      </c>
      <c r="J21" s="63">
        <f>COUNTIF(K21:BY21,"✅")+COUNTIF(K21:BY21,"⚠️")+COUNTIF(K21:BY21,"❌")+COUNTIF(K21:BY21,"➖")</f>
        <v/>
      </c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  <c r="AP21" s="65" t="n"/>
      <c r="AQ21" s="65" t="n"/>
      <c r="AR21" s="65" t="n"/>
      <c r="AS21" s="65" t="n"/>
      <c r="AT21" s="65" t="n"/>
      <c r="AU21" s="65" t="n"/>
      <c r="AV21" s="65" t="n"/>
      <c r="AW21" s="65" t="n"/>
      <c r="AX21" s="65" t="n"/>
      <c r="AY21" s="65" t="n"/>
      <c r="AZ21" s="65" t="n"/>
      <c r="BA21" s="65" t="n"/>
      <c r="BB21" s="65" t="n"/>
      <c r="BC21" s="65" t="n"/>
      <c r="BD21" s="65" t="n"/>
      <c r="BE21" s="65" t="n"/>
      <c r="BF21" s="65" t="n"/>
      <c r="BG21" s="65" t="n"/>
      <c r="BH21" s="65" t="n"/>
      <c r="BI21" s="65" t="n"/>
      <c r="BJ21" s="65" t="n"/>
      <c r="BK21" s="65" t="n"/>
      <c r="BL21" s="65" t="n"/>
      <c r="BM21" s="65" t="n"/>
      <c r="BN21" s="65" t="n"/>
      <c r="BO21" s="65" t="n"/>
      <c r="BP21" s="65" t="n"/>
      <c r="BQ21" s="65" t="n"/>
      <c r="BR21" s="65" t="n"/>
      <c r="BS21" s="65" t="n"/>
      <c r="BT21" s="65" t="n"/>
      <c r="BU21" s="65" t="n"/>
      <c r="BV21" s="65" t="n"/>
      <c r="BW21" s="65" t="n"/>
      <c r="BX21" s="65" t="n"/>
      <c r="BY21" s="65" t="n"/>
      <c r="BZ21" s="66" t="n"/>
      <c r="CA21" s="66" t="n"/>
    </row>
    <row r="22" ht="18" customHeight="1">
      <c r="A22" s="61" t="inlineStr">
        <is>
          <t>DeepSeek-V4-Flash (deepseek-chat)</t>
        </is>
      </c>
      <c r="B22" s="62" t="inlineStr">
        <is>
          <t>DeepSeek</t>
        </is>
      </c>
      <c r="C22" s="62" t="inlineStr">
        <is>
          <t>DeepSeek</t>
        </is>
      </c>
      <c r="D22" s="62" t="inlineStr">
        <is>
          <t>FP4-MoE</t>
        </is>
      </c>
      <c r="E22" s="62" t="inlineStr">
        <is>
          <t>284B</t>
        </is>
      </c>
      <c r="F22" s="62" t="inlineStr">
        <is>
          <t>1M</t>
        </is>
      </c>
      <c r="G22" s="63" t="n"/>
      <c r="H22" s="62" t="inlineStr">
        <is>
          <t>Untested</t>
        </is>
      </c>
      <c r="I22" s="64">
        <f>IFERROR((COUNTIF(K22:BY22,"✅")+0.5*COUNTIF(K22:BY22,"⚠️"))/(COUNTIF(K22:BY22,"✅")+COUNTIF(K22:BY22,"⚠️")+COUNTIF(K22:BY22,"❌")),"")</f>
        <v/>
      </c>
      <c r="J22" s="63">
        <f>COUNTIF(K22:BY22,"✅")+COUNTIF(K22:BY22,"⚠️")+COUNTIF(K22:BY22,"❌")+COUNTIF(K22:BY22,"➖")</f>
        <v/>
      </c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65" t="n"/>
      <c r="AO22" s="65" t="n"/>
      <c r="AP22" s="65" t="n"/>
      <c r="AQ22" s="65" t="n"/>
      <c r="AR22" s="65" t="n"/>
      <c r="AS22" s="65" t="n"/>
      <c r="AT22" s="65" t="n"/>
      <c r="AU22" s="65" t="n"/>
      <c r="AV22" s="65" t="n"/>
      <c r="AW22" s="65" t="n"/>
      <c r="AX22" s="65" t="n"/>
      <c r="AY22" s="65" t="n"/>
      <c r="AZ22" s="65" t="n"/>
      <c r="BA22" s="65" t="n"/>
      <c r="BB22" s="65" t="n"/>
      <c r="BC22" s="65" t="n"/>
      <c r="BD22" s="65" t="n"/>
      <c r="BE22" s="65" t="n"/>
      <c r="BF22" s="65" t="n"/>
      <c r="BG22" s="65" t="n"/>
      <c r="BH22" s="65" t="n"/>
      <c r="BI22" s="65" t="n"/>
      <c r="BJ22" s="65" t="n"/>
      <c r="BK22" s="65" t="n"/>
      <c r="BL22" s="65" t="n"/>
      <c r="BM22" s="65" t="n"/>
      <c r="BN22" s="65" t="n"/>
      <c r="BO22" s="65" t="n"/>
      <c r="BP22" s="65" t="n"/>
      <c r="BQ22" s="65" t="n"/>
      <c r="BR22" s="65" t="n"/>
      <c r="BS22" s="65" t="n"/>
      <c r="BT22" s="65" t="n"/>
      <c r="BU22" s="65" t="n"/>
      <c r="BV22" s="65" t="n"/>
      <c r="BW22" s="65" t="n"/>
      <c r="BX22" s="65" t="n"/>
      <c r="BY22" s="65" t="n"/>
      <c r="BZ22" s="66" t="n"/>
      <c r="CA22" s="66" t="n"/>
    </row>
    <row r="23" ht="18" customHeight="1">
      <c r="A23" s="61" t="inlineStr">
        <is>
          <t>DeepSeek-R1-0528 (deepseek-reasoner)</t>
        </is>
      </c>
      <c r="B23" s="62" t="inlineStr">
        <is>
          <t>DeepSeek</t>
        </is>
      </c>
      <c r="C23" s="62" t="inlineStr">
        <is>
          <t>DeepSeek</t>
        </is>
      </c>
      <c r="D23" s="62" t="inlineStr">
        <is>
          <t>-</t>
        </is>
      </c>
      <c r="E23" s="62" t="inlineStr">
        <is>
          <t>685B</t>
        </is>
      </c>
      <c r="F23" s="62" t="inlineStr">
        <is>
          <t>164k</t>
        </is>
      </c>
      <c r="G23" s="63" t="n"/>
      <c r="H23" s="62" t="inlineStr">
        <is>
          <t>Untested</t>
        </is>
      </c>
      <c r="I23" s="64">
        <f>IFERROR((COUNTIF(K23:BY23,"✅")+0.5*COUNTIF(K23:BY23,"⚠️"))/(COUNTIF(K23:BY23,"✅")+COUNTIF(K23:BY23,"⚠️")+COUNTIF(K23:BY23,"❌")),"")</f>
        <v/>
      </c>
      <c r="J23" s="63">
        <f>COUNTIF(K23:BY23,"✅")+COUNTIF(K23:BY23,"⚠️")+COUNTIF(K23:BY23,"❌")+COUNTIF(K23:BY23,"➖")</f>
        <v/>
      </c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  <c r="BN23" s="65" t="n"/>
      <c r="BO23" s="65" t="n"/>
      <c r="BP23" s="65" t="n"/>
      <c r="BQ23" s="65" t="n"/>
      <c r="BR23" s="65" t="n"/>
      <c r="BS23" s="65" t="n"/>
      <c r="BT23" s="65" t="n"/>
      <c r="BU23" s="65" t="n"/>
      <c r="BV23" s="65" t="n"/>
      <c r="BW23" s="65" t="n"/>
      <c r="BX23" s="65" t="n"/>
      <c r="BY23" s="65" t="n"/>
      <c r="BZ23" s="66" t="n"/>
      <c r="CA23" s="66" t="n"/>
    </row>
    <row r="24" ht="18" customHeight="1">
      <c r="A24" s="61" t="inlineStr">
        <is>
          <t>DeepSeek-V3.2</t>
        </is>
      </c>
      <c r="B24" s="62" t="inlineStr">
        <is>
          <t>DeepSeek</t>
        </is>
      </c>
      <c r="C24" s="62" t="inlineStr">
        <is>
          <t>DeepSeek</t>
        </is>
      </c>
      <c r="D24" s="62" t="inlineStr">
        <is>
          <t>-</t>
        </is>
      </c>
      <c r="E24" s="62" t="inlineStr">
        <is>
          <t>685B</t>
        </is>
      </c>
      <c r="F24" s="62" t="inlineStr">
        <is>
          <t>164k</t>
        </is>
      </c>
      <c r="G24" s="63" t="n"/>
      <c r="H24" s="62" t="inlineStr">
        <is>
          <t>Untested</t>
        </is>
      </c>
      <c r="I24" s="64">
        <f>IFERROR((COUNTIF(K24:BY24,"✅")+0.5*COUNTIF(K24:BY24,"⚠️"))/(COUNTIF(K24:BY24,"✅")+COUNTIF(K24:BY24,"⚠️")+COUNTIF(K24:BY24,"❌")),"")</f>
        <v/>
      </c>
      <c r="J24" s="63">
        <f>COUNTIF(K24:BY24,"✅")+COUNTIF(K24:BY24,"⚠️")+COUNTIF(K24:BY24,"❌")+COUNTIF(K24:BY24,"➖")</f>
        <v/>
      </c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65" t="n"/>
      <c r="AO24" s="65" t="n"/>
      <c r="AP24" s="65" t="n"/>
      <c r="AQ24" s="65" t="n"/>
      <c r="AR24" s="65" t="n"/>
      <c r="AS24" s="65" t="n"/>
      <c r="AT24" s="65" t="n"/>
      <c r="AU24" s="65" t="n"/>
      <c r="AV24" s="65" t="n"/>
      <c r="AW24" s="65" t="n"/>
      <c r="AX24" s="65" t="n"/>
      <c r="AY24" s="65" t="n"/>
      <c r="AZ24" s="65" t="n"/>
      <c r="BA24" s="65" t="n"/>
      <c r="BB24" s="65" t="n"/>
      <c r="BC24" s="65" t="n"/>
      <c r="BD24" s="65" t="n"/>
      <c r="BE24" s="65" t="n"/>
      <c r="BF24" s="65" t="n"/>
      <c r="BG24" s="65" t="n"/>
      <c r="BH24" s="65" t="n"/>
      <c r="BI24" s="65" t="n"/>
      <c r="BJ24" s="65" t="n"/>
      <c r="BK24" s="65" t="n"/>
      <c r="BL24" s="65" t="n"/>
      <c r="BM24" s="65" t="n"/>
      <c r="BN24" s="65" t="n"/>
      <c r="BO24" s="65" t="n"/>
      <c r="BP24" s="65" t="n"/>
      <c r="BQ24" s="65" t="n"/>
      <c r="BR24" s="65" t="n"/>
      <c r="BS24" s="65" t="n"/>
      <c r="BT24" s="65" t="n"/>
      <c r="BU24" s="65" t="n"/>
      <c r="BV24" s="65" t="n"/>
      <c r="BW24" s="65" t="n"/>
      <c r="BX24" s="65" t="n"/>
      <c r="BY24" s="65" t="n"/>
      <c r="BZ24" s="66" t="n"/>
      <c r="CA24" s="66" t="n"/>
    </row>
    <row r="25" ht="18" customHeight="1">
      <c r="A25" s="61" t="inlineStr">
        <is>
          <t>Grok 4</t>
        </is>
      </c>
      <c r="B25" s="62" t="inlineStr">
        <is>
          <t>xAI</t>
        </is>
      </c>
      <c r="C25" s="62" t="inlineStr">
        <is>
          <t>OpenRouter</t>
        </is>
      </c>
      <c r="D25" s="62" t="inlineStr">
        <is>
          <t>-</t>
        </is>
      </c>
      <c r="E25" s="62" t="inlineStr">
        <is>
          <t>-</t>
        </is>
      </c>
      <c r="F25" s="62" t="inlineStr">
        <is>
          <t>256k</t>
        </is>
      </c>
      <c r="G25" s="63" t="n"/>
      <c r="H25" s="62" t="inlineStr">
        <is>
          <t>Untested</t>
        </is>
      </c>
      <c r="I25" s="64">
        <f>IFERROR((COUNTIF(K25:BY25,"✅")+0.5*COUNTIF(K25:BY25,"⚠️"))/(COUNTIF(K25:BY25,"✅")+COUNTIF(K25:BY25,"⚠️")+COUNTIF(K25:BY25,"❌")),"")</f>
        <v/>
      </c>
      <c r="J25" s="63">
        <f>COUNTIF(K25:BY25,"✅")+COUNTIF(K25:BY25,"⚠️")+COUNTIF(K25:BY25,"❌")+COUNTIF(K25:BY25,"➖")</f>
        <v/>
      </c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/>
      <c r="AJ25" s="65" t="n"/>
      <c r="AK25" s="65" t="n"/>
      <c r="AL25" s="65" t="n"/>
      <c r="AM25" s="65" t="n"/>
      <c r="AN25" s="65" t="n"/>
      <c r="AO25" s="65" t="n"/>
      <c r="AP25" s="65" t="n"/>
      <c r="AQ25" s="65" t="n"/>
      <c r="AR25" s="65" t="n"/>
      <c r="AS25" s="65" t="n"/>
      <c r="AT25" s="65" t="n"/>
      <c r="AU25" s="65" t="n"/>
      <c r="AV25" s="65" t="n"/>
      <c r="AW25" s="65" t="n"/>
      <c r="AX25" s="65" t="n"/>
      <c r="AY25" s="65" t="n"/>
      <c r="AZ25" s="65" t="n"/>
      <c r="BA25" s="65" t="n"/>
      <c r="BB25" s="65" t="n"/>
      <c r="BC25" s="65" t="n"/>
      <c r="BD25" s="65" t="n"/>
      <c r="BE25" s="65" t="n"/>
      <c r="BF25" s="65" t="n"/>
      <c r="BG25" s="65" t="n"/>
      <c r="BH25" s="65" t="n"/>
      <c r="BI25" s="65" t="n"/>
      <c r="BJ25" s="65" t="n"/>
      <c r="BK25" s="65" t="n"/>
      <c r="BL25" s="65" t="n"/>
      <c r="BM25" s="65" t="n"/>
      <c r="BN25" s="65" t="n"/>
      <c r="BO25" s="65" t="n"/>
      <c r="BP25" s="65" t="n"/>
      <c r="BQ25" s="65" t="n"/>
      <c r="BR25" s="65" t="n"/>
      <c r="BS25" s="65" t="n"/>
      <c r="BT25" s="65" t="n"/>
      <c r="BU25" s="65" t="n"/>
      <c r="BV25" s="65" t="n"/>
      <c r="BW25" s="65" t="n"/>
      <c r="BX25" s="65" t="n"/>
      <c r="BY25" s="65" t="n"/>
      <c r="BZ25" s="66" t="n"/>
      <c r="CA25" s="66" t="n"/>
    </row>
    <row r="26" ht="18" customHeight="1">
      <c r="A26" s="61" t="inlineStr">
        <is>
          <t>Grok 4 Fast</t>
        </is>
      </c>
      <c r="B26" s="62" t="inlineStr">
        <is>
          <t>xAI</t>
        </is>
      </c>
      <c r="C26" s="62" t="inlineStr">
        <is>
          <t>OpenRouter</t>
        </is>
      </c>
      <c r="D26" s="62" t="inlineStr">
        <is>
          <t>-</t>
        </is>
      </c>
      <c r="E26" s="62" t="inlineStr">
        <is>
          <t>-</t>
        </is>
      </c>
      <c r="F26" s="62" t="inlineStr">
        <is>
          <t>2M</t>
        </is>
      </c>
      <c r="G26" s="63" t="n"/>
      <c r="H26" s="62" t="inlineStr">
        <is>
          <t>Untested</t>
        </is>
      </c>
      <c r="I26" s="64">
        <f>IFERROR((COUNTIF(K26:BY26,"✅")+0.5*COUNTIF(K26:BY26,"⚠️"))/(COUNTIF(K26:BY26,"✅")+COUNTIF(K26:BY26,"⚠️")+COUNTIF(K26:BY26,"❌")),"")</f>
        <v/>
      </c>
      <c r="J26" s="63">
        <f>COUNTIF(K26:BY26,"✅")+COUNTIF(K26:BY26,"⚠️")+COUNTIF(K26:BY26,"❌")+COUNTIF(K26:BY26,"➖")</f>
        <v/>
      </c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  <c r="AO26" s="65" t="n"/>
      <c r="AP26" s="65" t="n"/>
      <c r="AQ26" s="65" t="n"/>
      <c r="AR26" s="65" t="n"/>
      <c r="AS26" s="65" t="n"/>
      <c r="AT26" s="6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65" t="n"/>
      <c r="BI26" s="65" t="n"/>
      <c r="BJ26" s="65" t="n"/>
      <c r="BK26" s="65" t="n"/>
      <c r="BL26" s="65" t="n"/>
      <c r="BM26" s="65" t="n"/>
      <c r="BN26" s="65" t="n"/>
      <c r="BO26" s="65" t="n"/>
      <c r="BP26" s="65" t="n"/>
      <c r="BQ26" s="65" t="n"/>
      <c r="BR26" s="65" t="n"/>
      <c r="BS26" s="65" t="n"/>
      <c r="BT26" s="65" t="n"/>
      <c r="BU26" s="65" t="n"/>
      <c r="BV26" s="65" t="n"/>
      <c r="BW26" s="65" t="n"/>
      <c r="BX26" s="65" t="n"/>
      <c r="BY26" s="65" t="n"/>
      <c r="BZ26" s="66" t="n"/>
      <c r="CA26" s="66" t="n"/>
    </row>
    <row r="27" ht="18" customHeight="1">
      <c r="A27" s="61" t="inlineStr">
        <is>
          <t>Grok Code Fast</t>
        </is>
      </c>
      <c r="B27" s="62" t="inlineStr">
        <is>
          <t>xAI</t>
        </is>
      </c>
      <c r="C27" s="62" t="inlineStr">
        <is>
          <t>OpenCode Zen</t>
        </is>
      </c>
      <c r="D27" s="62" t="inlineStr">
        <is>
          <t>-</t>
        </is>
      </c>
      <c r="E27" s="62" t="inlineStr">
        <is>
          <t>-</t>
        </is>
      </c>
      <c r="F27" s="62" t="inlineStr">
        <is>
          <t>256k</t>
        </is>
      </c>
      <c r="G27" s="63" t="n"/>
      <c r="H27" s="62" t="inlineStr">
        <is>
          <t>Untested</t>
        </is>
      </c>
      <c r="I27" s="64">
        <f>IFERROR((COUNTIF(K27:BY27,"✅")+0.5*COUNTIF(K27:BY27,"⚠️"))/(COUNTIF(K27:BY27,"✅")+COUNTIF(K27:BY27,"⚠️")+COUNTIF(K27:BY27,"❌")),"")</f>
        <v/>
      </c>
      <c r="J27" s="63">
        <f>COUNTIF(K27:BY27,"✅")+COUNTIF(K27:BY27,"⚠️")+COUNTIF(K27:BY27,"❌")+COUNTIF(K27:BY27,"➖")</f>
        <v/>
      </c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65" t="n"/>
      <c r="AO27" s="65" t="n"/>
      <c r="AP27" s="65" t="n"/>
      <c r="AQ27" s="65" t="n"/>
      <c r="AR27" s="65" t="n"/>
      <c r="AS27" s="65" t="n"/>
      <c r="AT27" s="65" t="n"/>
      <c r="AU27" s="65" t="n"/>
      <c r="AV27" s="65" t="n"/>
      <c r="AW27" s="65" t="n"/>
      <c r="AX27" s="65" t="n"/>
      <c r="AY27" s="65" t="n"/>
      <c r="AZ27" s="65" t="n"/>
      <c r="BA27" s="65" t="n"/>
      <c r="BB27" s="65" t="n"/>
      <c r="BC27" s="65" t="n"/>
      <c r="BD27" s="65" t="n"/>
      <c r="BE27" s="65" t="n"/>
      <c r="BF27" s="65" t="n"/>
      <c r="BG27" s="65" t="n"/>
      <c r="BH27" s="65" t="n"/>
      <c r="BI27" s="65" t="n"/>
      <c r="BJ27" s="65" t="n"/>
      <c r="BK27" s="65" t="n"/>
      <c r="BL27" s="65" t="n"/>
      <c r="BM27" s="65" t="n"/>
      <c r="BN27" s="65" t="n"/>
      <c r="BO27" s="65" t="n"/>
      <c r="BP27" s="65" t="n"/>
      <c r="BQ27" s="65" t="n"/>
      <c r="BR27" s="65" t="n"/>
      <c r="BS27" s="65" t="n"/>
      <c r="BT27" s="65" t="n"/>
      <c r="BU27" s="65" t="n"/>
      <c r="BV27" s="65" t="n"/>
      <c r="BW27" s="65" t="n"/>
      <c r="BX27" s="65" t="n"/>
      <c r="BY27" s="65" t="n"/>
      <c r="BZ27" s="66" t="n"/>
      <c r="CA27" s="66" t="n"/>
    </row>
    <row r="28" ht="18" customHeight="1">
      <c r="A28" s="61" t="inlineStr">
        <is>
          <t>Mistral Large</t>
        </is>
      </c>
      <c r="B28" s="62" t="inlineStr">
        <is>
          <t>Mistral</t>
        </is>
      </c>
      <c r="C28" s="62" t="inlineStr">
        <is>
          <t>Mistral</t>
        </is>
      </c>
      <c r="D28" s="62" t="inlineStr">
        <is>
          <t>-</t>
        </is>
      </c>
      <c r="E28" s="62" t="inlineStr">
        <is>
          <t>123B</t>
        </is>
      </c>
      <c r="F28" s="62" t="inlineStr">
        <is>
          <t>128k</t>
        </is>
      </c>
      <c r="G28" s="63" t="n"/>
      <c r="H28" s="62" t="inlineStr">
        <is>
          <t>Untested</t>
        </is>
      </c>
      <c r="I28" s="64">
        <f>IFERROR((COUNTIF(K28:BY28,"✅")+0.5*COUNTIF(K28:BY28,"⚠️"))/(COUNTIF(K28:BY28,"✅")+COUNTIF(K28:BY28,"⚠️")+COUNTIF(K28:BY28,"❌")),"")</f>
        <v/>
      </c>
      <c r="J28" s="63">
        <f>COUNTIF(K28:BY28,"✅")+COUNTIF(K28:BY28,"⚠️")+COUNTIF(K28:BY28,"❌")+COUNTIF(K28:BY28,"➖")</f>
        <v/>
      </c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/>
      <c r="AJ28" s="65" t="n"/>
      <c r="AK28" s="65" t="n"/>
      <c r="AL28" s="65" t="n"/>
      <c r="AM28" s="65" t="n"/>
      <c r="AN28" s="65" t="n"/>
      <c r="AO28" s="65" t="n"/>
      <c r="AP28" s="65" t="n"/>
      <c r="AQ28" s="65" t="n"/>
      <c r="AR28" s="65" t="n"/>
      <c r="AS28" s="65" t="n"/>
      <c r="AT28" s="65" t="n"/>
      <c r="AU28" s="65" t="n"/>
      <c r="AV28" s="65" t="n"/>
      <c r="AW28" s="65" t="n"/>
      <c r="AX28" s="65" t="n"/>
      <c r="AY28" s="65" t="n"/>
      <c r="AZ28" s="65" t="n"/>
      <c r="BA28" s="65" t="n"/>
      <c r="BB28" s="65" t="n"/>
      <c r="BC28" s="65" t="n"/>
      <c r="BD28" s="65" t="n"/>
      <c r="BE28" s="65" t="n"/>
      <c r="BF28" s="65" t="n"/>
      <c r="BG28" s="65" t="n"/>
      <c r="BH28" s="65" t="n"/>
      <c r="BI28" s="65" t="n"/>
      <c r="BJ28" s="65" t="n"/>
      <c r="BK28" s="65" t="n"/>
      <c r="BL28" s="65" t="n"/>
      <c r="BM28" s="65" t="n"/>
      <c r="BN28" s="65" t="n"/>
      <c r="BO28" s="65" t="n"/>
      <c r="BP28" s="65" t="n"/>
      <c r="BQ28" s="65" t="n"/>
      <c r="BR28" s="65" t="n"/>
      <c r="BS28" s="65" t="n"/>
      <c r="BT28" s="65" t="n"/>
      <c r="BU28" s="65" t="n"/>
      <c r="BV28" s="65" t="n"/>
      <c r="BW28" s="65" t="n"/>
      <c r="BX28" s="65" t="n"/>
      <c r="BY28" s="65" t="n"/>
      <c r="BZ28" s="66" t="n"/>
      <c r="CA28" s="66" t="n"/>
    </row>
    <row r="29" ht="18" customHeight="1">
      <c r="A29" s="61" t="inlineStr">
        <is>
          <t>Mistral Medium 3</t>
        </is>
      </c>
      <c r="B29" s="62" t="inlineStr">
        <is>
          <t>Mistral</t>
        </is>
      </c>
      <c r="C29" s="62" t="inlineStr">
        <is>
          <t>Mistral</t>
        </is>
      </c>
      <c r="D29" s="62" t="inlineStr">
        <is>
          <t>-</t>
        </is>
      </c>
      <c r="E29" s="62" t="inlineStr">
        <is>
          <t>-</t>
        </is>
      </c>
      <c r="F29" s="62" t="inlineStr">
        <is>
          <t>128k</t>
        </is>
      </c>
      <c r="G29" s="63" t="n"/>
      <c r="H29" s="62" t="inlineStr">
        <is>
          <t>Untested</t>
        </is>
      </c>
      <c r="I29" s="64">
        <f>IFERROR((COUNTIF(K29:BY29,"✅")+0.5*COUNTIF(K29:BY29,"⚠️"))/(COUNTIF(K29:BY29,"✅")+COUNTIF(K29:BY29,"⚠️")+COUNTIF(K29:BY29,"❌")),"")</f>
        <v/>
      </c>
      <c r="J29" s="63">
        <f>COUNTIF(K29:BY29,"✅")+COUNTIF(K29:BY29,"⚠️")+COUNTIF(K29:BY29,"❌")+COUNTIF(K29:BY29,"➖")</f>
        <v/>
      </c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/>
      <c r="AJ29" s="65" t="n"/>
      <c r="AK29" s="65" t="n"/>
      <c r="AL29" s="65" t="n"/>
      <c r="AM29" s="65" t="n"/>
      <c r="AN29" s="65" t="n"/>
      <c r="AO29" s="65" t="n"/>
      <c r="AP29" s="65" t="n"/>
      <c r="AQ29" s="65" t="n"/>
      <c r="AR29" s="65" t="n"/>
      <c r="AS29" s="65" t="n"/>
      <c r="AT29" s="65" t="n"/>
      <c r="AU29" s="65" t="n"/>
      <c r="AV29" s="65" t="n"/>
      <c r="AW29" s="65" t="n"/>
      <c r="AX29" s="65" t="n"/>
      <c r="AY29" s="65" t="n"/>
      <c r="AZ29" s="65" t="n"/>
      <c r="BA29" s="65" t="n"/>
      <c r="BB29" s="65" t="n"/>
      <c r="BC29" s="65" t="n"/>
      <c r="BD29" s="65" t="n"/>
      <c r="BE29" s="65" t="n"/>
      <c r="BF29" s="65" t="n"/>
      <c r="BG29" s="65" t="n"/>
      <c r="BH29" s="65" t="n"/>
      <c r="BI29" s="65" t="n"/>
      <c r="BJ29" s="65" t="n"/>
      <c r="BK29" s="65" t="n"/>
      <c r="BL29" s="65" t="n"/>
      <c r="BM29" s="65" t="n"/>
      <c r="BN29" s="65" t="n"/>
      <c r="BO29" s="65" t="n"/>
      <c r="BP29" s="65" t="n"/>
      <c r="BQ29" s="65" t="n"/>
      <c r="BR29" s="65" t="n"/>
      <c r="BS29" s="65" t="n"/>
      <c r="BT29" s="65" t="n"/>
      <c r="BU29" s="65" t="n"/>
      <c r="BV29" s="65" t="n"/>
      <c r="BW29" s="65" t="n"/>
      <c r="BX29" s="65" t="n"/>
      <c r="BY29" s="65" t="n"/>
      <c r="BZ29" s="66" t="n"/>
      <c r="CA29" s="66" t="n"/>
    </row>
    <row r="30" ht="18" customHeight="1">
      <c r="A30" s="61" t="inlineStr">
        <is>
          <t>Mistral Small 3.2</t>
        </is>
      </c>
      <c r="B30" s="62" t="inlineStr">
        <is>
          <t>Mistral</t>
        </is>
      </c>
      <c r="C30" s="62" t="inlineStr">
        <is>
          <t>Mistral</t>
        </is>
      </c>
      <c r="D30" s="62" t="inlineStr">
        <is>
          <t>-</t>
        </is>
      </c>
      <c r="E30" s="62" t="inlineStr">
        <is>
          <t>24B</t>
        </is>
      </c>
      <c r="F30" s="62" t="inlineStr">
        <is>
          <t>128k</t>
        </is>
      </c>
      <c r="G30" s="63" t="n"/>
      <c r="H30" s="62" t="inlineStr">
        <is>
          <t>Untested</t>
        </is>
      </c>
      <c r="I30" s="64">
        <f>IFERROR((COUNTIF(K30:BY30,"✅")+0.5*COUNTIF(K30:BY30,"⚠️"))/(COUNTIF(K30:BY30,"✅")+COUNTIF(K30:BY30,"⚠️")+COUNTIF(K30:BY30,"❌")),"")</f>
        <v/>
      </c>
      <c r="J30" s="63">
        <f>COUNTIF(K30:BY30,"✅")+COUNTIF(K30:BY30,"⚠️")+COUNTIF(K30:BY30,"❌")+COUNTIF(K30:BY30,"➖")</f>
        <v/>
      </c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65" t="n"/>
      <c r="AO30" s="65" t="n"/>
      <c r="AP30" s="65" t="n"/>
      <c r="AQ30" s="65" t="n"/>
      <c r="AR30" s="65" t="n"/>
      <c r="AS30" s="65" t="n"/>
      <c r="AT30" s="65" t="n"/>
      <c r="AU30" s="65" t="n"/>
      <c r="AV30" s="65" t="n"/>
      <c r="AW30" s="65" t="n"/>
      <c r="AX30" s="65" t="n"/>
      <c r="AY30" s="65" t="n"/>
      <c r="AZ30" s="65" t="n"/>
      <c r="BA30" s="65" t="n"/>
      <c r="BB30" s="65" t="n"/>
      <c r="BC30" s="65" t="n"/>
      <c r="BD30" s="65" t="n"/>
      <c r="BE30" s="65" t="n"/>
      <c r="BF30" s="65" t="n"/>
      <c r="BG30" s="65" t="n"/>
      <c r="BH30" s="65" t="n"/>
      <c r="BI30" s="65" t="n"/>
      <c r="BJ30" s="65" t="n"/>
      <c r="BK30" s="65" t="n"/>
      <c r="BL30" s="65" t="n"/>
      <c r="BM30" s="65" t="n"/>
      <c r="BN30" s="65" t="n"/>
      <c r="BO30" s="65" t="n"/>
      <c r="BP30" s="65" t="n"/>
      <c r="BQ30" s="65" t="n"/>
      <c r="BR30" s="65" t="n"/>
      <c r="BS30" s="65" t="n"/>
      <c r="BT30" s="65" t="n"/>
      <c r="BU30" s="65" t="n"/>
      <c r="BV30" s="65" t="n"/>
      <c r="BW30" s="65" t="n"/>
      <c r="BX30" s="65" t="n"/>
      <c r="BY30" s="65" t="n"/>
      <c r="BZ30" s="66" t="n"/>
      <c r="CA30" s="66" t="n"/>
    </row>
    <row r="31" ht="18" customHeight="1">
      <c r="A31" s="61" t="inlineStr">
        <is>
          <t>Devstral Medium</t>
        </is>
      </c>
      <c r="B31" s="62" t="inlineStr">
        <is>
          <t>Mistral</t>
        </is>
      </c>
      <c r="C31" s="62" t="inlineStr">
        <is>
          <t>Mistral</t>
        </is>
      </c>
      <c r="D31" s="62" t="inlineStr">
        <is>
          <t>-</t>
        </is>
      </c>
      <c r="E31" s="62" t="inlineStr">
        <is>
          <t>-</t>
        </is>
      </c>
      <c r="F31" s="62" t="inlineStr">
        <is>
          <t>256k</t>
        </is>
      </c>
      <c r="G31" s="63" t="n"/>
      <c r="H31" s="62" t="inlineStr">
        <is>
          <t>Untested</t>
        </is>
      </c>
      <c r="I31" s="64">
        <f>IFERROR((COUNTIF(K31:BY31,"✅")+0.5*COUNTIF(K31:BY31,"⚠️"))/(COUNTIF(K31:BY31,"✅")+COUNTIF(K31:BY31,"⚠️")+COUNTIF(K31:BY31,"❌")),"")</f>
        <v/>
      </c>
      <c r="J31" s="63">
        <f>COUNTIF(K31:BY31,"✅")+COUNTIF(K31:BY31,"⚠️")+COUNTIF(K31:BY31,"❌")+COUNTIF(K31:BY31,"➖")</f>
        <v/>
      </c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  <c r="BN31" s="65" t="n"/>
      <c r="BO31" s="65" t="n"/>
      <c r="BP31" s="65" t="n"/>
      <c r="BQ31" s="65" t="n"/>
      <c r="BR31" s="65" t="n"/>
      <c r="BS31" s="65" t="n"/>
      <c r="BT31" s="65" t="n"/>
      <c r="BU31" s="65" t="n"/>
      <c r="BV31" s="65" t="n"/>
      <c r="BW31" s="65" t="n"/>
      <c r="BX31" s="65" t="n"/>
      <c r="BY31" s="65" t="n"/>
      <c r="BZ31" s="66" t="n"/>
      <c r="CA31" s="66" t="n"/>
    </row>
    <row r="32" ht="18" customHeight="1">
      <c r="A32" s="61" t="inlineStr">
        <is>
          <t>Codestral</t>
        </is>
      </c>
      <c r="B32" s="62" t="inlineStr">
        <is>
          <t>Mistral</t>
        </is>
      </c>
      <c r="C32" s="62" t="inlineStr">
        <is>
          <t>Mistral</t>
        </is>
      </c>
      <c r="D32" s="62" t="inlineStr">
        <is>
          <t>-</t>
        </is>
      </c>
      <c r="E32" s="62" t="inlineStr">
        <is>
          <t>-</t>
        </is>
      </c>
      <c r="F32" s="62" t="inlineStr">
        <is>
          <t>256k</t>
        </is>
      </c>
      <c r="G32" s="63" t="n"/>
      <c r="H32" s="62" t="inlineStr">
        <is>
          <t>Untested</t>
        </is>
      </c>
      <c r="I32" s="64">
        <f>IFERROR((COUNTIF(K32:BY32,"✅")+0.5*COUNTIF(K32:BY32,"⚠️"))/(COUNTIF(K32:BY32,"✅")+COUNTIF(K32:BY32,"⚠️")+COUNTIF(K32:BY32,"❌")),"")</f>
        <v/>
      </c>
      <c r="J32" s="63">
        <f>COUNTIF(K32:BY32,"✅")+COUNTIF(K32:BY32,"⚠️")+COUNTIF(K32:BY32,"❌")+COUNTIF(K32:BY32,"➖")</f>
        <v/>
      </c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/>
      <c r="AG32" s="65" t="n"/>
      <c r="AH32" s="65" t="n"/>
      <c r="AI32" s="65" t="n"/>
      <c r="AJ32" s="65" t="n"/>
      <c r="AK32" s="65" t="n"/>
      <c r="AL32" s="65" t="n"/>
      <c r="AM32" s="65" t="n"/>
      <c r="AN32" s="65" t="n"/>
      <c r="AO32" s="65" t="n"/>
      <c r="AP32" s="65" t="n"/>
      <c r="AQ32" s="65" t="n"/>
      <c r="AR32" s="65" t="n"/>
      <c r="AS32" s="65" t="n"/>
      <c r="AT32" s="65" t="n"/>
      <c r="AU32" s="65" t="n"/>
      <c r="AV32" s="65" t="n"/>
      <c r="AW32" s="65" t="n"/>
      <c r="AX32" s="65" t="n"/>
      <c r="AY32" s="65" t="n"/>
      <c r="AZ32" s="65" t="n"/>
      <c r="BA32" s="65" t="n"/>
      <c r="BB32" s="65" t="n"/>
      <c r="BC32" s="65" t="n"/>
      <c r="BD32" s="65" t="n"/>
      <c r="BE32" s="65" t="n"/>
      <c r="BF32" s="65" t="n"/>
      <c r="BG32" s="65" t="n"/>
      <c r="BH32" s="65" t="n"/>
      <c r="BI32" s="65" t="n"/>
      <c r="BJ32" s="65" t="n"/>
      <c r="BK32" s="65" t="n"/>
      <c r="BL32" s="65" t="n"/>
      <c r="BM32" s="65" t="n"/>
      <c r="BN32" s="65" t="n"/>
      <c r="BO32" s="65" t="n"/>
      <c r="BP32" s="65" t="n"/>
      <c r="BQ32" s="65" t="n"/>
      <c r="BR32" s="65" t="n"/>
      <c r="BS32" s="65" t="n"/>
      <c r="BT32" s="65" t="n"/>
      <c r="BU32" s="65" t="n"/>
      <c r="BV32" s="65" t="n"/>
      <c r="BW32" s="65" t="n"/>
      <c r="BX32" s="65" t="n"/>
      <c r="BY32" s="65" t="n"/>
      <c r="BZ32" s="66" t="n"/>
      <c r="CA32" s="66" t="n"/>
    </row>
    <row r="33" ht="18" customHeight="1">
      <c r="A33" s="61" t="inlineStr">
        <is>
          <t>Qwen3-Max</t>
        </is>
      </c>
      <c r="B33" s="62" t="inlineStr">
        <is>
          <t>Qwen</t>
        </is>
      </c>
      <c r="C33" s="62" t="inlineStr">
        <is>
          <t>OpenRouter</t>
        </is>
      </c>
      <c r="D33" s="62" t="inlineStr">
        <is>
          <t>-</t>
        </is>
      </c>
      <c r="E33" s="62" t="inlineStr">
        <is>
          <t>-</t>
        </is>
      </c>
      <c r="F33" s="62" t="inlineStr">
        <is>
          <t>262k</t>
        </is>
      </c>
      <c r="G33" s="63" t="n"/>
      <c r="H33" s="62" t="inlineStr">
        <is>
          <t>Untested</t>
        </is>
      </c>
      <c r="I33" s="64">
        <f>IFERROR((COUNTIF(K33:BY33,"✅")+0.5*COUNTIF(K33:BY33,"⚠️"))/(COUNTIF(K33:BY33,"✅")+COUNTIF(K33:BY33,"⚠️")+COUNTIF(K33:BY33,"❌")),"")</f>
        <v/>
      </c>
      <c r="J33" s="63">
        <f>COUNTIF(K33:BY33,"✅")+COUNTIF(K33:BY33,"⚠️")+COUNTIF(K33:BY33,"❌")+COUNTIF(K33:BY33,"➖")</f>
        <v/>
      </c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  <c r="AA33" s="65" t="n"/>
      <c r="AB33" s="65" t="n"/>
      <c r="AC33" s="65" t="n"/>
      <c r="AD33" s="65" t="n"/>
      <c r="AE33" s="65" t="n"/>
      <c r="AF33" s="65" t="n"/>
      <c r="AG33" s="65" t="n"/>
      <c r="AH33" s="65" t="n"/>
      <c r="AI33" s="65" t="n"/>
      <c r="AJ33" s="65" t="n"/>
      <c r="AK33" s="65" t="n"/>
      <c r="AL33" s="65" t="n"/>
      <c r="AM33" s="65" t="n"/>
      <c r="AN33" s="65" t="n"/>
      <c r="AO33" s="65" t="n"/>
      <c r="AP33" s="65" t="n"/>
      <c r="AQ33" s="65" t="n"/>
      <c r="AR33" s="65" t="n"/>
      <c r="AS33" s="65" t="n"/>
      <c r="AT33" s="65" t="n"/>
      <c r="AU33" s="65" t="n"/>
      <c r="AV33" s="65" t="n"/>
      <c r="AW33" s="65" t="n"/>
      <c r="AX33" s="65" t="n"/>
      <c r="AY33" s="65" t="n"/>
      <c r="AZ33" s="65" t="n"/>
      <c r="BA33" s="65" t="n"/>
      <c r="BB33" s="65" t="n"/>
      <c r="BC33" s="65" t="n"/>
      <c r="BD33" s="65" t="n"/>
      <c r="BE33" s="65" t="n"/>
      <c r="BF33" s="65" t="n"/>
      <c r="BG33" s="65" t="n"/>
      <c r="BH33" s="65" t="n"/>
      <c r="BI33" s="65" t="n"/>
      <c r="BJ33" s="65" t="n"/>
      <c r="BK33" s="65" t="n"/>
      <c r="BL33" s="65" t="n"/>
      <c r="BM33" s="65" t="n"/>
      <c r="BN33" s="65" t="n"/>
      <c r="BO33" s="65" t="n"/>
      <c r="BP33" s="65" t="n"/>
      <c r="BQ33" s="65" t="n"/>
      <c r="BR33" s="65" t="n"/>
      <c r="BS33" s="65" t="n"/>
      <c r="BT33" s="65" t="n"/>
      <c r="BU33" s="65" t="n"/>
      <c r="BV33" s="65" t="n"/>
      <c r="BW33" s="65" t="n"/>
      <c r="BX33" s="65" t="n"/>
      <c r="BY33" s="65" t="n"/>
      <c r="BZ33" s="66" t="n"/>
      <c r="CA33" s="66" t="n"/>
    </row>
    <row r="34" ht="18" customHeight="1">
      <c r="A34" s="61" t="inlineStr">
        <is>
          <t>Qwen3-235B-A22B-Instruct-2507</t>
        </is>
      </c>
      <c r="B34" s="62" t="inlineStr">
        <is>
          <t>Qwen</t>
        </is>
      </c>
      <c r="C34" s="62" t="inlineStr">
        <is>
          <t>OpenRouter</t>
        </is>
      </c>
      <c r="D34" s="62" t="inlineStr">
        <is>
          <t>FP8</t>
        </is>
      </c>
      <c r="E34" s="62" t="inlineStr">
        <is>
          <t>235B</t>
        </is>
      </c>
      <c r="F34" s="62" t="inlineStr">
        <is>
          <t>262k</t>
        </is>
      </c>
      <c r="G34" s="63" t="n"/>
      <c r="H34" s="62" t="inlineStr">
        <is>
          <t>Untested</t>
        </is>
      </c>
      <c r="I34" s="64">
        <f>IFERROR((COUNTIF(K34:BY34,"✅")+0.5*COUNTIF(K34:BY34,"⚠️"))/(COUNTIF(K34:BY34,"✅")+COUNTIF(K34:BY34,"⚠️")+COUNTIF(K34:BY34,"❌")),"")</f>
        <v/>
      </c>
      <c r="J34" s="63">
        <f>COUNTIF(K34:BY34,"✅")+COUNTIF(K34:BY34,"⚠️")+COUNTIF(K34:BY34,"❌")+COUNTIF(K34:BY34,"➖")</f>
        <v/>
      </c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  <c r="AA34" s="65" t="n"/>
      <c r="AB34" s="65" t="n"/>
      <c r="AC34" s="65" t="n"/>
      <c r="AD34" s="65" t="n"/>
      <c r="AE34" s="65" t="n"/>
      <c r="AF34" s="65" t="n"/>
      <c r="AG34" s="65" t="n"/>
      <c r="AH34" s="65" t="n"/>
      <c r="AI34" s="65" t="n"/>
      <c r="AJ34" s="65" t="n"/>
      <c r="AK34" s="65" t="n"/>
      <c r="AL34" s="65" t="n"/>
      <c r="AM34" s="65" t="n"/>
      <c r="AN34" s="65" t="n"/>
      <c r="AO34" s="65" t="n"/>
      <c r="AP34" s="65" t="n"/>
      <c r="AQ34" s="65" t="n"/>
      <c r="AR34" s="65" t="n"/>
      <c r="AS34" s="65" t="n"/>
      <c r="AT34" s="65" t="n"/>
      <c r="AU34" s="65" t="n"/>
      <c r="AV34" s="65" t="n"/>
      <c r="AW34" s="65" t="n"/>
      <c r="AX34" s="65" t="n"/>
      <c r="AY34" s="65" t="n"/>
      <c r="AZ34" s="65" t="n"/>
      <c r="BA34" s="65" t="n"/>
      <c r="BB34" s="65" t="n"/>
      <c r="BC34" s="65" t="n"/>
      <c r="BD34" s="65" t="n"/>
      <c r="BE34" s="65" t="n"/>
      <c r="BF34" s="65" t="n"/>
      <c r="BG34" s="65" t="n"/>
      <c r="BH34" s="65" t="n"/>
      <c r="BI34" s="65" t="n"/>
      <c r="BJ34" s="65" t="n"/>
      <c r="BK34" s="65" t="n"/>
      <c r="BL34" s="65" t="n"/>
      <c r="BM34" s="65" t="n"/>
      <c r="BN34" s="65" t="n"/>
      <c r="BO34" s="65" t="n"/>
      <c r="BP34" s="65" t="n"/>
      <c r="BQ34" s="65" t="n"/>
      <c r="BR34" s="65" t="n"/>
      <c r="BS34" s="65" t="n"/>
      <c r="BT34" s="65" t="n"/>
      <c r="BU34" s="65" t="n"/>
      <c r="BV34" s="65" t="n"/>
      <c r="BW34" s="65" t="n"/>
      <c r="BX34" s="65" t="n"/>
      <c r="BY34" s="65" t="n"/>
      <c r="BZ34" s="66" t="n"/>
      <c r="CA34" s="66" t="n"/>
    </row>
    <row r="35" ht="18" customHeight="1">
      <c r="A35" s="61" t="inlineStr">
        <is>
          <t>Qwen3-Coder-Next</t>
        </is>
      </c>
      <c r="B35" s="62" t="inlineStr">
        <is>
          <t>Qwen</t>
        </is>
      </c>
      <c r="C35" s="62" t="inlineStr">
        <is>
          <t>OpenRouter</t>
        </is>
      </c>
      <c r="D35" s="62" t="inlineStr">
        <is>
          <t>FP8</t>
        </is>
      </c>
      <c r="E35" s="62" t="inlineStr">
        <is>
          <t>80B</t>
        </is>
      </c>
      <c r="F35" s="62" t="inlineStr">
        <is>
          <t>262k</t>
        </is>
      </c>
      <c r="G35" s="63" t="n"/>
      <c r="H35" s="62" t="inlineStr">
        <is>
          <t>Untested</t>
        </is>
      </c>
      <c r="I35" s="64">
        <f>IFERROR((COUNTIF(K35:BY35,"✅")+0.5*COUNTIF(K35:BY35,"⚠️"))/(COUNTIF(K35:BY35,"✅")+COUNTIF(K35:BY35,"⚠️")+COUNTIF(K35:BY35,"❌")),"")</f>
        <v/>
      </c>
      <c r="J35" s="63">
        <f>COUNTIF(K35:BY35,"✅")+COUNTIF(K35:BY35,"⚠️")+COUNTIF(K35:BY35,"❌")+COUNTIF(K35:BY35,"➖")</f>
        <v/>
      </c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5" t="n"/>
      <c r="AG35" s="65" t="n"/>
      <c r="AH35" s="65" t="n"/>
      <c r="AI35" s="65" t="n"/>
      <c r="AJ35" s="65" t="n"/>
      <c r="AK35" s="65" t="n"/>
      <c r="AL35" s="65" t="n"/>
      <c r="AM35" s="65" t="n"/>
      <c r="AN35" s="65" t="n"/>
      <c r="AO35" s="65" t="n"/>
      <c r="AP35" s="65" t="n"/>
      <c r="AQ35" s="65" t="n"/>
      <c r="AR35" s="65" t="n"/>
      <c r="AS35" s="65" t="n"/>
      <c r="AT35" s="65" t="n"/>
      <c r="AU35" s="65" t="n"/>
      <c r="AV35" s="65" t="n"/>
      <c r="AW35" s="65" t="n"/>
      <c r="AX35" s="65" t="n"/>
      <c r="AY35" s="65" t="n"/>
      <c r="AZ35" s="65" t="n"/>
      <c r="BA35" s="65" t="n"/>
      <c r="BB35" s="65" t="n"/>
      <c r="BC35" s="65" t="n"/>
      <c r="BD35" s="65" t="n"/>
      <c r="BE35" s="65" t="n"/>
      <c r="BF35" s="65" t="n"/>
      <c r="BG35" s="65" t="n"/>
      <c r="BH35" s="65" t="n"/>
      <c r="BI35" s="65" t="n"/>
      <c r="BJ35" s="65" t="n"/>
      <c r="BK35" s="65" t="n"/>
      <c r="BL35" s="65" t="n"/>
      <c r="BM35" s="65" t="n"/>
      <c r="BN35" s="65" t="n"/>
      <c r="BO35" s="65" t="n"/>
      <c r="BP35" s="65" t="n"/>
      <c r="BQ35" s="65" t="n"/>
      <c r="BR35" s="65" t="n"/>
      <c r="BS35" s="65" t="n"/>
      <c r="BT35" s="65" t="n"/>
      <c r="BU35" s="65" t="n"/>
      <c r="BV35" s="65" t="n"/>
      <c r="BW35" s="65" t="n"/>
      <c r="BX35" s="65" t="n"/>
      <c r="BY35" s="65" t="n"/>
      <c r="BZ35" s="66" t="n"/>
      <c r="CA35" s="66" t="n"/>
    </row>
    <row r="36" ht="18" customHeight="1">
      <c r="A36" s="61" t="inlineStr">
        <is>
          <t>Kimi K2.5</t>
        </is>
      </c>
      <c r="B36" s="62" t="inlineStr">
        <is>
          <t>Moonshot</t>
        </is>
      </c>
      <c r="C36" s="62" t="inlineStr">
        <is>
          <t>OpenRouter</t>
        </is>
      </c>
      <c r="D36" s="62" t="inlineStr">
        <is>
          <t>-</t>
        </is>
      </c>
      <c r="E36" s="62" t="inlineStr">
        <is>
          <t>1059B</t>
        </is>
      </c>
      <c r="F36" s="62" t="inlineStr">
        <is>
          <t>262k</t>
        </is>
      </c>
      <c r="G36" s="63" t="n"/>
      <c r="H36" s="62" t="inlineStr">
        <is>
          <t>Untested</t>
        </is>
      </c>
      <c r="I36" s="64">
        <f>IFERROR((COUNTIF(K36:BY36,"✅")+0.5*COUNTIF(K36:BY36,"⚠️"))/(COUNTIF(K36:BY36,"✅")+COUNTIF(K36:BY36,"⚠️")+COUNTIF(K36:BY36,"❌")),"")</f>
        <v/>
      </c>
      <c r="J36" s="63">
        <f>COUNTIF(K36:BY36,"✅")+COUNTIF(K36:BY36,"⚠️")+COUNTIF(K36:BY36,"❌")+COUNTIF(K36:BY36,"➖")</f>
        <v/>
      </c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  <c r="BN36" s="65" t="n"/>
      <c r="BO36" s="65" t="n"/>
      <c r="BP36" s="65" t="n"/>
      <c r="BQ36" s="65" t="n"/>
      <c r="BR36" s="65" t="n"/>
      <c r="BS36" s="65" t="n"/>
      <c r="BT36" s="65" t="n"/>
      <c r="BU36" s="65" t="n"/>
      <c r="BV36" s="65" t="n"/>
      <c r="BW36" s="65" t="n"/>
      <c r="BX36" s="65" t="n"/>
      <c r="BY36" s="65" t="n"/>
      <c r="BZ36" s="66" t="n"/>
      <c r="CA36" s="66" t="n"/>
    </row>
    <row r="37" ht="18" customHeight="1">
      <c r="A37" s="61" t="inlineStr">
        <is>
          <t>Kimi K2 Instruct 0905</t>
        </is>
      </c>
      <c r="B37" s="62" t="inlineStr">
        <is>
          <t>Moonshot</t>
        </is>
      </c>
      <c r="C37" s="62" t="inlineStr">
        <is>
          <t>OpenRouter</t>
        </is>
      </c>
      <c r="D37" s="62" t="inlineStr">
        <is>
          <t>-</t>
        </is>
      </c>
      <c r="E37" s="62" t="inlineStr">
        <is>
          <t>1027B</t>
        </is>
      </c>
      <c r="F37" s="62" t="inlineStr">
        <is>
          <t>262k</t>
        </is>
      </c>
      <c r="G37" s="63" t="n"/>
      <c r="H37" s="62" t="inlineStr">
        <is>
          <t>Untested</t>
        </is>
      </c>
      <c r="I37" s="64">
        <f>IFERROR((COUNTIF(K37:BY37,"✅")+0.5*COUNTIF(K37:BY37,"⚠️"))/(COUNTIF(K37:BY37,"✅")+COUNTIF(K37:BY37,"⚠️")+COUNTIF(K37:BY37,"❌")),"")</f>
        <v/>
      </c>
      <c r="J37" s="63">
        <f>COUNTIF(K37:BY37,"✅")+COUNTIF(K37:BY37,"⚠️")+COUNTIF(K37:BY37,"❌")+COUNTIF(K37:BY37,"➖")</f>
        <v/>
      </c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65" t="n"/>
      <c r="AH37" s="65" t="n"/>
      <c r="AI37" s="65" t="n"/>
      <c r="AJ37" s="65" t="n"/>
      <c r="AK37" s="65" t="n"/>
      <c r="AL37" s="65" t="n"/>
      <c r="AM37" s="65" t="n"/>
      <c r="AN37" s="65" t="n"/>
      <c r="AO37" s="65" t="n"/>
      <c r="AP37" s="65" t="n"/>
      <c r="AQ37" s="65" t="n"/>
      <c r="AR37" s="65" t="n"/>
      <c r="AS37" s="65" t="n"/>
      <c r="AT37" s="65" t="n"/>
      <c r="AU37" s="65" t="n"/>
      <c r="AV37" s="65" t="n"/>
      <c r="AW37" s="65" t="n"/>
      <c r="AX37" s="65" t="n"/>
      <c r="AY37" s="65" t="n"/>
      <c r="AZ37" s="65" t="n"/>
      <c r="BA37" s="65" t="n"/>
      <c r="BB37" s="65" t="n"/>
      <c r="BC37" s="65" t="n"/>
      <c r="BD37" s="65" t="n"/>
      <c r="BE37" s="65" t="n"/>
      <c r="BF37" s="65" t="n"/>
      <c r="BG37" s="65" t="n"/>
      <c r="BH37" s="65" t="n"/>
      <c r="BI37" s="65" t="n"/>
      <c r="BJ37" s="65" t="n"/>
      <c r="BK37" s="65" t="n"/>
      <c r="BL37" s="65" t="n"/>
      <c r="BM37" s="65" t="n"/>
      <c r="BN37" s="65" t="n"/>
      <c r="BO37" s="65" t="n"/>
      <c r="BP37" s="65" t="n"/>
      <c r="BQ37" s="65" t="n"/>
      <c r="BR37" s="65" t="n"/>
      <c r="BS37" s="65" t="n"/>
      <c r="BT37" s="65" t="n"/>
      <c r="BU37" s="65" t="n"/>
      <c r="BV37" s="65" t="n"/>
      <c r="BW37" s="65" t="n"/>
      <c r="BX37" s="65" t="n"/>
      <c r="BY37" s="65" t="n"/>
      <c r="BZ37" s="66" t="n"/>
      <c r="CA37" s="66" t="n"/>
    </row>
    <row r="38" ht="18" customHeight="1">
      <c r="A38" s="61" t="inlineStr">
        <is>
          <t>GLM-4.7</t>
        </is>
      </c>
      <c r="B38" s="62" t="inlineStr">
        <is>
          <t>Z.ai</t>
        </is>
      </c>
      <c r="C38" s="62" t="inlineStr">
        <is>
          <t>OpenRouter</t>
        </is>
      </c>
      <c r="D38" s="62" t="inlineStr">
        <is>
          <t>-</t>
        </is>
      </c>
      <c r="E38" s="62" t="inlineStr">
        <is>
          <t>-</t>
        </is>
      </c>
      <c r="F38" s="62" t="inlineStr">
        <is>
          <t>203k</t>
        </is>
      </c>
      <c r="G38" s="63" t="n"/>
      <c r="H38" s="62" t="inlineStr">
        <is>
          <t>Untested</t>
        </is>
      </c>
      <c r="I38" s="64">
        <f>IFERROR((COUNTIF(K38:BY38,"✅")+0.5*COUNTIF(K38:BY38,"⚠️"))/(COUNTIF(K38:BY38,"✅")+COUNTIF(K38:BY38,"⚠️")+COUNTIF(K38:BY38,"❌")),"")</f>
        <v/>
      </c>
      <c r="J38" s="63">
        <f>COUNTIF(K38:BY38,"✅")+COUNTIF(K38:BY38,"⚠️")+COUNTIF(K38:BY38,"❌")+COUNTIF(K38:BY38,"➖")</f>
        <v/>
      </c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65" t="n"/>
      <c r="AG38" s="65" t="n"/>
      <c r="AH38" s="65" t="n"/>
      <c r="AI38" s="65" t="n"/>
      <c r="AJ38" s="65" t="n"/>
      <c r="AK38" s="65" t="n"/>
      <c r="AL38" s="65" t="n"/>
      <c r="AM38" s="65" t="n"/>
      <c r="AN38" s="65" t="n"/>
      <c r="AO38" s="65" t="n"/>
      <c r="AP38" s="65" t="n"/>
      <c r="AQ38" s="65" t="n"/>
      <c r="AR38" s="65" t="n"/>
      <c r="AS38" s="65" t="n"/>
      <c r="AT38" s="65" t="n"/>
      <c r="AU38" s="65" t="n"/>
      <c r="AV38" s="65" t="n"/>
      <c r="AW38" s="65" t="n"/>
      <c r="AX38" s="65" t="n"/>
      <c r="AY38" s="65" t="n"/>
      <c r="AZ38" s="65" t="n"/>
      <c r="BA38" s="65" t="n"/>
      <c r="BB38" s="65" t="n"/>
      <c r="BC38" s="65" t="n"/>
      <c r="BD38" s="65" t="n"/>
      <c r="BE38" s="65" t="n"/>
      <c r="BF38" s="65" t="n"/>
      <c r="BG38" s="65" t="n"/>
      <c r="BH38" s="65" t="n"/>
      <c r="BI38" s="65" t="n"/>
      <c r="BJ38" s="65" t="n"/>
      <c r="BK38" s="65" t="n"/>
      <c r="BL38" s="65" t="n"/>
      <c r="BM38" s="65" t="n"/>
      <c r="BN38" s="65" t="n"/>
      <c r="BO38" s="65" t="n"/>
      <c r="BP38" s="65" t="n"/>
      <c r="BQ38" s="65" t="n"/>
      <c r="BR38" s="65" t="n"/>
      <c r="BS38" s="65" t="n"/>
      <c r="BT38" s="65" t="n"/>
      <c r="BU38" s="65" t="n"/>
      <c r="BV38" s="65" t="n"/>
      <c r="BW38" s="65" t="n"/>
      <c r="BX38" s="65" t="n"/>
      <c r="BY38" s="65" t="n"/>
      <c r="BZ38" s="66" t="n"/>
      <c r="CA38" s="66" t="n"/>
    </row>
    <row r="39" ht="18" customHeight="1">
      <c r="A39" s="61" t="inlineStr">
        <is>
          <t>GLM-4.7-Flash</t>
        </is>
      </c>
      <c r="B39" s="62" t="inlineStr">
        <is>
          <t>Z.ai</t>
        </is>
      </c>
      <c r="C39" s="62" t="inlineStr">
        <is>
          <t>OpenRouter</t>
        </is>
      </c>
      <c r="D39" s="62" t="inlineStr">
        <is>
          <t>-</t>
        </is>
      </c>
      <c r="E39" s="62" t="inlineStr">
        <is>
          <t>31B</t>
        </is>
      </c>
      <c r="F39" s="62" t="inlineStr">
        <is>
          <t>203k</t>
        </is>
      </c>
      <c r="G39" s="63" t="n"/>
      <c r="H39" s="62" t="inlineStr">
        <is>
          <t>Untested</t>
        </is>
      </c>
      <c r="I39" s="64">
        <f>IFERROR((COUNTIF(K39:BY39,"✅")+0.5*COUNTIF(K39:BY39,"⚠️"))/(COUNTIF(K39:BY39,"✅")+COUNTIF(K39:BY39,"⚠️")+COUNTIF(K39:BY39,"❌")),"")</f>
        <v/>
      </c>
      <c r="J39" s="63">
        <f>COUNTIF(K39:BY39,"✅")+COUNTIF(K39:BY39,"⚠️")+COUNTIF(K39:BY39,"❌")+COUNTIF(K39:BY39,"➖")</f>
        <v/>
      </c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65" t="n"/>
      <c r="AG39" s="65" t="n"/>
      <c r="AH39" s="65" t="n"/>
      <c r="AI39" s="65" t="n"/>
      <c r="AJ39" s="65" t="n"/>
      <c r="AK39" s="65" t="n"/>
      <c r="AL39" s="65" t="n"/>
      <c r="AM39" s="65" t="n"/>
      <c r="AN39" s="65" t="n"/>
      <c r="AO39" s="65" t="n"/>
      <c r="AP39" s="65" t="n"/>
      <c r="AQ39" s="65" t="n"/>
      <c r="AR39" s="65" t="n"/>
      <c r="AS39" s="65" t="n"/>
      <c r="AT39" s="65" t="n"/>
      <c r="AU39" s="65" t="n"/>
      <c r="AV39" s="65" t="n"/>
      <c r="AW39" s="65" t="n"/>
      <c r="AX39" s="65" t="n"/>
      <c r="AY39" s="65" t="n"/>
      <c r="AZ39" s="65" t="n"/>
      <c r="BA39" s="65" t="n"/>
      <c r="BB39" s="65" t="n"/>
      <c r="BC39" s="65" t="n"/>
      <c r="BD39" s="65" t="n"/>
      <c r="BE39" s="65" t="n"/>
      <c r="BF39" s="65" t="n"/>
      <c r="BG39" s="65" t="n"/>
      <c r="BH39" s="65" t="n"/>
      <c r="BI39" s="65" t="n"/>
      <c r="BJ39" s="65" t="n"/>
      <c r="BK39" s="65" t="n"/>
      <c r="BL39" s="65" t="n"/>
      <c r="BM39" s="65" t="n"/>
      <c r="BN39" s="65" t="n"/>
      <c r="BO39" s="65" t="n"/>
      <c r="BP39" s="65" t="n"/>
      <c r="BQ39" s="65" t="n"/>
      <c r="BR39" s="65" t="n"/>
      <c r="BS39" s="65" t="n"/>
      <c r="BT39" s="65" t="n"/>
      <c r="BU39" s="65" t="n"/>
      <c r="BV39" s="65" t="n"/>
      <c r="BW39" s="65" t="n"/>
      <c r="BX39" s="65" t="n"/>
      <c r="BY39" s="65" t="n"/>
      <c r="BZ39" s="66" t="n"/>
      <c r="CA39" s="66" t="n"/>
    </row>
    <row r="40" ht="18" customHeight="1">
      <c r="A40" s="61" t="inlineStr">
        <is>
          <t>MiniMax-M2.7</t>
        </is>
      </c>
      <c r="B40" s="62" t="inlineStr">
        <is>
          <t>MiniMax</t>
        </is>
      </c>
      <c r="C40" s="62" t="inlineStr">
        <is>
          <t>OpenRouter</t>
        </is>
      </c>
      <c r="D40" s="62" t="inlineStr">
        <is>
          <t>FP8</t>
        </is>
      </c>
      <c r="E40" s="62" t="inlineStr">
        <is>
          <t>229B</t>
        </is>
      </c>
      <c r="F40" s="62" t="inlineStr">
        <is>
          <t>197k</t>
        </is>
      </c>
      <c r="G40" s="63" t="n"/>
      <c r="H40" s="62" t="inlineStr">
        <is>
          <t>Untested</t>
        </is>
      </c>
      <c r="I40" s="64">
        <f>IFERROR((COUNTIF(K40:BY40,"✅")+0.5*COUNTIF(K40:BY40,"⚠️"))/(COUNTIF(K40:BY40,"✅")+COUNTIF(K40:BY40,"⚠️")+COUNTIF(K40:BY40,"❌")),"")</f>
        <v/>
      </c>
      <c r="J40" s="63">
        <f>COUNTIF(K40:BY40,"✅")+COUNTIF(K40:BY40,"⚠️")+COUNTIF(K40:BY40,"❌")+COUNTIF(K40:BY40,"➖")</f>
        <v/>
      </c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  <c r="BN40" s="65" t="n"/>
      <c r="BO40" s="65" t="n"/>
      <c r="BP40" s="65" t="n"/>
      <c r="BQ40" s="65" t="n"/>
      <c r="BR40" s="65" t="n"/>
      <c r="BS40" s="65" t="n"/>
      <c r="BT40" s="65" t="n"/>
      <c r="BU40" s="65" t="n"/>
      <c r="BV40" s="65" t="n"/>
      <c r="BW40" s="65" t="n"/>
      <c r="BX40" s="65" t="n"/>
      <c r="BY40" s="65" t="n"/>
      <c r="BZ40" s="66" t="n"/>
      <c r="CA40" s="66" t="n"/>
    </row>
    <row r="41" ht="18" customHeight="1">
      <c r="A41" s="61" t="inlineStr">
        <is>
          <t>MiMo-V2-Flash</t>
        </is>
      </c>
      <c r="B41" s="62" t="inlineStr">
        <is>
          <t>Xiaomi</t>
        </is>
      </c>
      <c r="C41" s="62" t="inlineStr">
        <is>
          <t>OpenRouter</t>
        </is>
      </c>
      <c r="D41" s="62" t="inlineStr">
        <is>
          <t>-</t>
        </is>
      </c>
      <c r="E41" s="62" t="inlineStr">
        <is>
          <t>310B</t>
        </is>
      </c>
      <c r="F41" s="62" t="inlineStr">
        <is>
          <t>262k</t>
        </is>
      </c>
      <c r="G41" s="63" t="n"/>
      <c r="H41" s="62" t="inlineStr">
        <is>
          <t>Untested</t>
        </is>
      </c>
      <c r="I41" s="64">
        <f>IFERROR((COUNTIF(K41:BY41,"✅")+0.5*COUNTIF(K41:BY41,"⚠️"))/(COUNTIF(K41:BY41,"✅")+COUNTIF(K41:BY41,"⚠️")+COUNTIF(K41:BY41,"❌")),"")</f>
        <v/>
      </c>
      <c r="J41" s="63">
        <f>COUNTIF(K41:BY41,"✅")+COUNTIF(K41:BY41,"⚠️")+COUNTIF(K41:BY41,"❌")+COUNTIF(K41:BY41,"➖")</f>
        <v/>
      </c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  <c r="AA41" s="65" t="n"/>
      <c r="AB41" s="65" t="n"/>
      <c r="AC41" s="65" t="n"/>
      <c r="AD41" s="65" t="n"/>
      <c r="AE41" s="65" t="n"/>
      <c r="AF41" s="65" t="n"/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 t="n"/>
      <c r="AW41" s="65" t="n"/>
      <c r="AX41" s="65" t="n"/>
      <c r="AY41" s="65" t="n"/>
      <c r="AZ41" s="65" t="n"/>
      <c r="BA41" s="65" t="n"/>
      <c r="BB41" s="65" t="n"/>
      <c r="BC41" s="65" t="n"/>
      <c r="BD41" s="65" t="n"/>
      <c r="BE41" s="65" t="n"/>
      <c r="BF41" s="65" t="n"/>
      <c r="BG41" s="65" t="n"/>
      <c r="BH41" s="65" t="n"/>
      <c r="BI41" s="65" t="n"/>
      <c r="BJ41" s="65" t="n"/>
      <c r="BK41" s="65" t="n"/>
      <c r="BL41" s="65" t="n"/>
      <c r="BM41" s="65" t="n"/>
      <c r="BN41" s="65" t="n"/>
      <c r="BO41" s="65" t="n"/>
      <c r="BP41" s="65" t="n"/>
      <c r="BQ41" s="65" t="n"/>
      <c r="BR41" s="65" t="n"/>
      <c r="BS41" s="65" t="n"/>
      <c r="BT41" s="65" t="n"/>
      <c r="BU41" s="65" t="n"/>
      <c r="BV41" s="65" t="n"/>
      <c r="BW41" s="65" t="n"/>
      <c r="BX41" s="65" t="n"/>
      <c r="BY41" s="65" t="n"/>
      <c r="BZ41" s="66" t="n"/>
      <c r="CA41" s="66" t="n"/>
    </row>
    <row r="42" ht="18" customHeight="1">
      <c r="A42" s="61" t="inlineStr">
        <is>
          <t>Llama 4 Maverick</t>
        </is>
      </c>
      <c r="B42" s="62" t="inlineStr">
        <is>
          <t>Meta</t>
        </is>
      </c>
      <c r="C42" s="62" t="inlineStr">
        <is>
          <t>Groq</t>
        </is>
      </c>
      <c r="D42" s="62" t="inlineStr">
        <is>
          <t>-</t>
        </is>
      </c>
      <c r="E42" s="62" t="inlineStr">
        <is>
          <t>402B</t>
        </is>
      </c>
      <c r="F42" s="62" t="inlineStr">
        <is>
          <t>1M</t>
        </is>
      </c>
      <c r="G42" s="63" t="n"/>
      <c r="H42" s="62" t="inlineStr">
        <is>
          <t>Untested</t>
        </is>
      </c>
      <c r="I42" s="64">
        <f>IFERROR((COUNTIF(K42:BY42,"✅")+0.5*COUNTIF(K42:BY42,"⚠️"))/(COUNTIF(K42:BY42,"✅")+COUNTIF(K42:BY42,"⚠️")+COUNTIF(K42:BY42,"❌")),"")</f>
        <v/>
      </c>
      <c r="J42" s="63">
        <f>COUNTIF(K42:BY42,"✅")+COUNTIF(K42:BY42,"⚠️")+COUNTIF(K42:BY42,"❌")+COUNTIF(K42:BY42,"➖")</f>
        <v/>
      </c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  <c r="AA42" s="65" t="n"/>
      <c r="AB42" s="65" t="n"/>
      <c r="AC42" s="65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 t="n"/>
      <c r="AW42" s="65" t="n"/>
      <c r="AX42" s="65" t="n"/>
      <c r="AY42" s="65" t="n"/>
      <c r="AZ42" s="65" t="n"/>
      <c r="BA42" s="65" t="n"/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  <c r="BN42" s="65" t="n"/>
      <c r="BO42" s="65" t="n"/>
      <c r="BP42" s="65" t="n"/>
      <c r="BQ42" s="65" t="n"/>
      <c r="BR42" s="65" t="n"/>
      <c r="BS42" s="65" t="n"/>
      <c r="BT42" s="65" t="n"/>
      <c r="BU42" s="65" t="n"/>
      <c r="BV42" s="65" t="n"/>
      <c r="BW42" s="65" t="n"/>
      <c r="BX42" s="65" t="n"/>
      <c r="BY42" s="65" t="n"/>
      <c r="BZ42" s="66" t="n"/>
      <c r="CA42" s="66" t="n"/>
    </row>
    <row r="43" ht="18" customHeight="1">
      <c r="A43" s="61" t="inlineStr">
        <is>
          <t>Llama 3.3 70B Instruct</t>
        </is>
      </c>
      <c r="B43" s="62" t="inlineStr">
        <is>
          <t>Meta</t>
        </is>
      </c>
      <c r="C43" s="62" t="inlineStr">
        <is>
          <t>Groq</t>
        </is>
      </c>
      <c r="D43" s="62" t="inlineStr">
        <is>
          <t>-</t>
        </is>
      </c>
      <c r="E43" s="62" t="inlineStr">
        <is>
          <t>70B</t>
        </is>
      </c>
      <c r="F43" s="62" t="inlineStr">
        <is>
          <t>131k</t>
        </is>
      </c>
      <c r="G43" s="63" t="n"/>
      <c r="H43" s="62" t="inlineStr">
        <is>
          <t>Untested</t>
        </is>
      </c>
      <c r="I43" s="64">
        <f>IFERROR((COUNTIF(K43:BY43,"✅")+0.5*COUNTIF(K43:BY43,"⚠️"))/(COUNTIF(K43:BY43,"✅")+COUNTIF(K43:BY43,"⚠️")+COUNTIF(K43:BY43,"❌")),"")</f>
        <v/>
      </c>
      <c r="J43" s="63">
        <f>COUNTIF(K43:BY43,"✅")+COUNTIF(K43:BY43,"⚠️")+COUNTIF(K43:BY43,"❌")+COUNTIF(K43:BY43,"➖")</f>
        <v/>
      </c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  <c r="AA43" s="65" t="n"/>
      <c r="AB43" s="65" t="n"/>
      <c r="AC43" s="65" t="n"/>
      <c r="AD43" s="65" t="n"/>
      <c r="AE43" s="65" t="n"/>
      <c r="AF43" s="65" t="n"/>
      <c r="AG43" s="65" t="n"/>
      <c r="AH43" s="65" t="n"/>
      <c r="AI43" s="65" t="n"/>
      <c r="AJ43" s="65" t="n"/>
      <c r="AK43" s="65" t="n"/>
      <c r="AL43" s="65" t="n"/>
      <c r="AM43" s="65" t="n"/>
      <c r="AN43" s="65" t="n"/>
      <c r="AO43" s="65" t="n"/>
      <c r="AP43" s="65" t="n"/>
      <c r="AQ43" s="65" t="n"/>
      <c r="AR43" s="65" t="n"/>
      <c r="AS43" s="65" t="n"/>
      <c r="AT43" s="65" t="n"/>
      <c r="AU43" s="65" t="n"/>
      <c r="AV43" s="65" t="n"/>
      <c r="AW43" s="65" t="n"/>
      <c r="AX43" s="65" t="n"/>
      <c r="AY43" s="65" t="n"/>
      <c r="AZ43" s="65" t="n"/>
      <c r="BA43" s="65" t="n"/>
      <c r="BB43" s="65" t="n"/>
      <c r="BC43" s="65" t="n"/>
      <c r="BD43" s="65" t="n"/>
      <c r="BE43" s="65" t="n"/>
      <c r="BF43" s="65" t="n"/>
      <c r="BG43" s="65" t="n"/>
      <c r="BH43" s="65" t="n"/>
      <c r="BI43" s="65" t="n"/>
      <c r="BJ43" s="65" t="n"/>
      <c r="BK43" s="65" t="n"/>
      <c r="BL43" s="65" t="n"/>
      <c r="BM43" s="65" t="n"/>
      <c r="BN43" s="65" t="n"/>
      <c r="BO43" s="65" t="n"/>
      <c r="BP43" s="65" t="n"/>
      <c r="BQ43" s="65" t="n"/>
      <c r="BR43" s="65" t="n"/>
      <c r="BS43" s="65" t="n"/>
      <c r="BT43" s="65" t="n"/>
      <c r="BU43" s="65" t="n"/>
      <c r="BV43" s="65" t="n"/>
      <c r="BW43" s="65" t="n"/>
      <c r="BX43" s="65" t="n"/>
      <c r="BY43" s="65" t="n"/>
      <c r="BZ43" s="66" t="n"/>
      <c r="CA43" s="66" t="n"/>
    </row>
    <row r="44" ht="18" customHeight="1">
      <c r="A44" s="61" t="inlineStr">
        <is>
          <t>Claude Sonnet (via Copilot)</t>
        </is>
      </c>
      <c r="B44" s="62" t="inlineStr">
        <is>
          <t>Anthropic</t>
        </is>
      </c>
      <c r="C44" s="62" t="inlineStr">
        <is>
          <t>GitHub Copilot</t>
        </is>
      </c>
      <c r="D44" s="62" t="inlineStr">
        <is>
          <t>-</t>
        </is>
      </c>
      <c r="E44" s="62" t="inlineStr">
        <is>
          <t>-</t>
        </is>
      </c>
      <c r="F44" s="62" t="inlineStr">
        <is>
          <t>-</t>
        </is>
      </c>
      <c r="G44" s="63" t="n"/>
      <c r="H44" s="62" t="inlineStr">
        <is>
          <t>Untested</t>
        </is>
      </c>
      <c r="I44" s="64">
        <f>IFERROR((COUNTIF(K44:BY44,"✅")+0.5*COUNTIF(K44:BY44,"⚠️"))/(COUNTIF(K44:BY44,"✅")+COUNTIF(K44:BY44,"⚠️")+COUNTIF(K44:BY44,"❌")),"")</f>
        <v/>
      </c>
      <c r="J44" s="63">
        <f>COUNTIF(K44:BY44,"✅")+COUNTIF(K44:BY44,"⚠️")+COUNTIF(K44:BY44,"❌")+COUNTIF(K44:BY44,"➖")</f>
        <v/>
      </c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  <c r="AA44" s="65" t="n"/>
      <c r="AB44" s="65" t="n"/>
      <c r="AC44" s="65" t="n"/>
      <c r="AD44" s="65" t="n"/>
      <c r="AE44" s="65" t="n"/>
      <c r="AF44" s="65" t="n"/>
      <c r="AG44" s="65" t="n"/>
      <c r="AH44" s="65" t="n"/>
      <c r="AI44" s="65" t="n"/>
      <c r="AJ44" s="65" t="n"/>
      <c r="AK44" s="65" t="n"/>
      <c r="AL44" s="65" t="n"/>
      <c r="AM44" s="65" t="n"/>
      <c r="AN44" s="65" t="n"/>
      <c r="AO44" s="65" t="n"/>
      <c r="AP44" s="65" t="n"/>
      <c r="AQ44" s="65" t="n"/>
      <c r="AR44" s="65" t="n"/>
      <c r="AS44" s="65" t="n"/>
      <c r="AT44" s="65" t="n"/>
      <c r="AU44" s="65" t="n"/>
      <c r="AV44" s="65" t="n"/>
      <c r="AW44" s="65" t="n"/>
      <c r="AX44" s="65" t="n"/>
      <c r="AY44" s="65" t="n"/>
      <c r="AZ44" s="65" t="n"/>
      <c r="BA44" s="65" t="n"/>
      <c r="BB44" s="65" t="n"/>
      <c r="BC44" s="65" t="n"/>
      <c r="BD44" s="65" t="n"/>
      <c r="BE44" s="65" t="n"/>
      <c r="BF44" s="65" t="n"/>
      <c r="BG44" s="65" t="n"/>
      <c r="BH44" s="65" t="n"/>
      <c r="BI44" s="65" t="n"/>
      <c r="BJ44" s="65" t="n"/>
      <c r="BK44" s="65" t="n"/>
      <c r="BL44" s="65" t="n"/>
      <c r="BM44" s="65" t="n"/>
      <c r="BN44" s="65" t="n"/>
      <c r="BO44" s="65" t="n"/>
      <c r="BP44" s="65" t="n"/>
      <c r="BQ44" s="65" t="n"/>
      <c r="BR44" s="65" t="n"/>
      <c r="BS44" s="65" t="n"/>
      <c r="BT44" s="65" t="n"/>
      <c r="BU44" s="65" t="n"/>
      <c r="BV44" s="65" t="n"/>
      <c r="BW44" s="65" t="n"/>
      <c r="BX44" s="65" t="n"/>
      <c r="BY44" s="65" t="n"/>
      <c r="BZ44" s="66" t="n"/>
      <c r="CA44" s="66" t="n"/>
    </row>
    <row r="45" ht="18" customHeight="1">
      <c r="A45" s="61" t="inlineStr">
        <is>
          <t>GPT-5 (via Copilot)</t>
        </is>
      </c>
      <c r="B45" s="62" t="inlineStr">
        <is>
          <t>OpenAI</t>
        </is>
      </c>
      <c r="C45" s="62" t="inlineStr">
        <is>
          <t>GitHub Copilot</t>
        </is>
      </c>
      <c r="D45" s="62" t="inlineStr">
        <is>
          <t>-</t>
        </is>
      </c>
      <c r="E45" s="62" t="inlineStr">
        <is>
          <t>-</t>
        </is>
      </c>
      <c r="F45" s="62" t="inlineStr">
        <is>
          <t>-</t>
        </is>
      </c>
      <c r="G45" s="63" t="n"/>
      <c r="H45" s="62" t="inlineStr">
        <is>
          <t>Untested</t>
        </is>
      </c>
      <c r="I45" s="64">
        <f>IFERROR((COUNTIF(K45:BY45,"✅")+0.5*COUNTIF(K45:BY45,"⚠️"))/(COUNTIF(K45:BY45,"✅")+COUNTIF(K45:BY45,"⚠️")+COUNTIF(K45:BY45,"❌")),"")</f>
        <v/>
      </c>
      <c r="J45" s="63">
        <f>COUNTIF(K45:BY45,"✅")+COUNTIF(K45:BY45,"⚠️")+COUNTIF(K45:BY45,"❌")+COUNTIF(K45:BY45,"➖")</f>
        <v/>
      </c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65" t="n"/>
      <c r="AO45" s="65" t="n"/>
      <c r="AP45" s="65" t="n"/>
      <c r="AQ45" s="65" t="n"/>
      <c r="AR45" s="65" t="n"/>
      <c r="AS45" s="65" t="n"/>
      <c r="AT45" s="65" t="n"/>
      <c r="AU45" s="65" t="n"/>
      <c r="AV45" s="65" t="n"/>
      <c r="AW45" s="65" t="n"/>
      <c r="AX45" s="65" t="n"/>
      <c r="AY45" s="65" t="n"/>
      <c r="AZ45" s="65" t="n"/>
      <c r="BA45" s="65" t="n"/>
      <c r="BB45" s="65" t="n"/>
      <c r="BC45" s="65" t="n"/>
      <c r="BD45" s="65" t="n"/>
      <c r="BE45" s="65" t="n"/>
      <c r="BF45" s="65" t="n"/>
      <c r="BG45" s="65" t="n"/>
      <c r="BH45" s="65" t="n"/>
      <c r="BI45" s="65" t="n"/>
      <c r="BJ45" s="65" t="n"/>
      <c r="BK45" s="65" t="n"/>
      <c r="BL45" s="65" t="n"/>
      <c r="BM45" s="65" t="n"/>
      <c r="BN45" s="65" t="n"/>
      <c r="BO45" s="65" t="n"/>
      <c r="BP45" s="65" t="n"/>
      <c r="BQ45" s="65" t="n"/>
      <c r="BR45" s="65" t="n"/>
      <c r="BS45" s="65" t="n"/>
      <c r="BT45" s="65" t="n"/>
      <c r="BU45" s="65" t="n"/>
      <c r="BV45" s="65" t="n"/>
      <c r="BW45" s="65" t="n"/>
      <c r="BX45" s="65" t="n"/>
      <c r="BY45" s="65" t="n"/>
      <c r="BZ45" s="66" t="n"/>
      <c r="CA45" s="66" t="n"/>
    </row>
  </sheetData>
  <autoFilter ref="A3:CA45"/>
  <mergeCells count="14">
    <mergeCell ref="U2:Z2"/>
    <mergeCell ref="AJ2:AL2"/>
    <mergeCell ref="AP2:AV2"/>
    <mergeCell ref="BG2:BI2"/>
    <mergeCell ref="AW2:BA2"/>
    <mergeCell ref="AB2:AC2"/>
    <mergeCell ref="BJ2:BR2"/>
    <mergeCell ref="BB2:BF2"/>
    <mergeCell ref="BZ2:CA2"/>
    <mergeCell ref="AD2:AH2"/>
    <mergeCell ref="A2:J2"/>
    <mergeCell ref="BS2:BY2"/>
    <mergeCell ref="K2:T2"/>
    <mergeCell ref="AM2:AO2"/>
  </mergeCells>
  <conditionalFormatting sqref="K5:BY45">
    <cfRule type="cellIs" priority="1" operator="equal" dxfId="0">
      <formula>"✅"</formula>
    </cfRule>
    <cfRule type="cellIs" priority="2" operator="equal" dxfId="1">
      <formula>"⚠️"</formula>
    </cfRule>
    <cfRule type="cellIs" priority="3" operator="equal" dxfId="2">
      <formula>"❌"</formula>
    </cfRule>
    <cfRule type="cellIs" priority="4" operator="equal" dxfId="3">
      <formula>"➖"</formula>
    </cfRule>
  </conditionalFormatting>
  <conditionalFormatting sqref="H5:H45">
    <cfRule type="cellIs" priority="5" operator="equal" dxfId="4">
      <formula>"Works"</formula>
    </cfRule>
    <cfRule type="cellIs" priority="6" operator="equal" dxfId="5">
      <formula>"Works with caveats"</formula>
    </cfRule>
    <cfRule type="cellIs" priority="7" operator="equal" dxfId="5">
      <formula>"Partial"</formula>
    </cfRule>
    <cfRule type="cellIs" priority="8" operator="equal" dxfId="6">
      <formula>"Unusable"</formula>
    </cfRule>
    <cfRule type="cellIs" priority="9" operator="equal" dxfId="7">
      <formula>"Untested"</formula>
    </cfRule>
  </conditionalFormatting>
  <dataValidations count="2">
    <dataValidation sqref="K4:BY45" showDropDown="0" showInputMessage="0" showErrorMessage="0" allowBlank="1" promptTitle="Result" prompt="✅ works  |  ⚠️ partial  |  ❌ broken  |  ➖ not applicable  |  blank = untested" type="list">
      <formula1>"✅,⚠️,❌,➖"</formula1>
    </dataValidation>
    <dataValidation sqref="H4:H45" showDropDown="0" showInputMessage="0" showErrorMessage="0" allowBlank="1" type="list">
      <formula1>"Works,Works with caveats,Partial,Unusable,Untested"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A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15" customWidth="1" min="4" max="4"/>
    <col width="10" customWidth="1" min="5" max="5"/>
    <col width="11" customWidth="1" min="6" max="6"/>
    <col width="13" customWidth="1" min="7" max="7"/>
    <col width="20" customWidth="1" min="8" max="8"/>
    <col width="9" customWidth="1" min="9" max="9"/>
    <col width="11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4.8" customWidth="1" min="35" max="35"/>
    <col width="4.8" customWidth="1" min="36" max="36"/>
    <col width="4.8" customWidth="1" min="37" max="37"/>
    <col width="4.8" customWidth="1" min="38" max="38"/>
    <col width="4.8" customWidth="1" min="39" max="39"/>
    <col width="4.8" customWidth="1" min="40" max="40"/>
    <col width="4.8" customWidth="1" min="41" max="41"/>
    <col width="4.8" customWidth="1" min="42" max="42"/>
    <col width="4.8" customWidth="1" min="43" max="43"/>
    <col width="4.8" customWidth="1" min="44" max="44"/>
    <col width="4.8" customWidth="1" min="45" max="45"/>
    <col width="4.8" customWidth="1" min="46" max="46"/>
    <col width="4.8" customWidth="1" min="47" max="47"/>
    <col width="4.8" customWidth="1" min="48" max="48"/>
    <col width="4.8" customWidth="1" min="49" max="49"/>
    <col width="4.8" customWidth="1" min="50" max="50"/>
    <col width="4.8" customWidth="1" min="51" max="51"/>
    <col width="4.8" customWidth="1" min="52" max="52"/>
    <col width="4.8" customWidth="1" min="53" max="53"/>
    <col width="4.8" customWidth="1" min="54" max="54"/>
    <col width="4.8" customWidth="1" min="55" max="55"/>
    <col width="4.8" customWidth="1" min="56" max="56"/>
    <col width="4.8" customWidth="1" min="57" max="57"/>
    <col width="4.8" customWidth="1" min="58" max="58"/>
    <col width="4.8" customWidth="1" min="59" max="59"/>
    <col width="4.8" customWidth="1" min="60" max="60"/>
    <col width="4.8" customWidth="1" min="61" max="61"/>
    <col width="4.8" customWidth="1" min="62" max="62"/>
    <col width="4.8" customWidth="1" min="63" max="63"/>
    <col width="4.8" customWidth="1" min="64" max="64"/>
    <col width="4.8" customWidth="1" min="65" max="65"/>
    <col width="4.8" customWidth="1" min="66" max="66"/>
    <col width="4.8" customWidth="1" min="67" max="67"/>
    <col width="4.8" customWidth="1" min="68" max="68"/>
    <col width="4.8" customWidth="1" min="69" max="69"/>
    <col width="4.8" customWidth="1" min="70" max="70"/>
    <col width="4.8" customWidth="1" min="71" max="71"/>
    <col width="4.8" customWidth="1" min="72" max="72"/>
    <col width="4.8" customWidth="1" min="73" max="73"/>
    <col width="4.8" customWidth="1" min="74" max="74"/>
    <col width="4.8" customWidth="1" min="75" max="75"/>
    <col width="4.8" customWidth="1" min="76" max="76"/>
    <col width="4.8" customWidth="1" min="77" max="77"/>
    <col width="46" customWidth="1" min="78" max="78"/>
    <col width="60" customWidth="1" min="79" max="79"/>
  </cols>
  <sheetData>
    <row r="1" ht="24" customHeight="1">
      <c r="A1" s="11" t="inlineStr">
        <is>
          <t>Minnow model capability matrix - LM Studio</t>
        </is>
      </c>
      <c r="D1" s="12" t="inlineStr">
        <is>
          <t>LM Studio - models served by the LM Studio local server</t>
        </is>
      </c>
    </row>
    <row r="2" ht="20" customHeight="1">
      <c r="A2" s="13" t="inlineStr">
        <is>
          <t>MODEL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5" t="inlineStr">
        <is>
          <t>CORE PROTOCOL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7" t="inlineStr">
        <is>
          <t>FILES</t>
        </is>
      </c>
      <c r="V2" s="18" t="n"/>
      <c r="W2" s="18" t="n"/>
      <c r="X2" s="18" t="n"/>
      <c r="Y2" s="18" t="n"/>
      <c r="Z2" s="18" t="n"/>
      <c r="AA2" s="19" t="inlineStr">
        <is>
          <t>DOCS</t>
        </is>
      </c>
      <c r="AB2" s="20" t="inlineStr">
        <is>
          <t>GIT</t>
        </is>
      </c>
      <c r="AC2" s="21" t="n"/>
      <c r="AD2" s="22" t="inlineStr">
        <is>
          <t>CODE &amp; SHELL</t>
        </is>
      </c>
      <c r="AE2" s="23" t="n"/>
      <c r="AF2" s="23" t="n"/>
      <c r="AG2" s="23" t="n"/>
      <c r="AH2" s="23" t="n"/>
      <c r="AI2" s="19" t="inlineStr">
        <is>
          <t>LSP</t>
        </is>
      </c>
      <c r="AJ2" s="24" t="inlineStr">
        <is>
          <t>WEB</t>
        </is>
      </c>
      <c r="AK2" s="25" t="n"/>
      <c r="AL2" s="25" t="n"/>
      <c r="AM2" s="26" t="inlineStr">
        <is>
          <t>BROWSER</t>
        </is>
      </c>
      <c r="AN2" s="27" t="n"/>
      <c r="AO2" s="27" t="n"/>
      <c r="AP2" s="28" t="inlineStr">
        <is>
          <t>AGENTS &amp; TASKS</t>
        </is>
      </c>
      <c r="AQ2" s="29" t="n"/>
      <c r="AR2" s="29" t="n"/>
      <c r="AS2" s="29" t="n"/>
      <c r="AT2" s="29" t="n"/>
      <c r="AU2" s="29" t="n"/>
      <c r="AV2" s="29" t="n"/>
      <c r="AW2" s="30" t="inlineStr">
        <is>
          <t>KNOWLEDGE</t>
        </is>
      </c>
      <c r="AX2" s="31" t="n"/>
      <c r="AY2" s="31" t="n"/>
      <c r="AZ2" s="31" t="n"/>
      <c r="BA2" s="31" t="n"/>
      <c r="BB2" s="32" t="inlineStr">
        <is>
          <t>APPS</t>
        </is>
      </c>
      <c r="BC2" s="33" t="n"/>
      <c r="BD2" s="33" t="n"/>
      <c r="BE2" s="33" t="n"/>
      <c r="BF2" s="33" t="n"/>
      <c r="BG2" s="34" t="inlineStr">
        <is>
          <t>MODE CONTROL</t>
        </is>
      </c>
      <c r="BH2" s="35" t="n"/>
      <c r="BI2" s="35" t="n"/>
      <c r="BJ2" s="36" t="inlineStr">
        <is>
          <t>MODES</t>
        </is>
      </c>
      <c r="BK2" s="37" t="n"/>
      <c r="BL2" s="37" t="n"/>
      <c r="BM2" s="37" t="n"/>
      <c r="BN2" s="37" t="n"/>
      <c r="BO2" s="37" t="n"/>
      <c r="BP2" s="37" t="n"/>
      <c r="BQ2" s="37" t="n"/>
      <c r="BR2" s="37" t="n"/>
      <c r="BS2" s="38" t="inlineStr">
        <is>
          <t>FEATURES</t>
        </is>
      </c>
      <c r="BT2" s="39" t="n"/>
      <c r="BU2" s="39" t="n"/>
      <c r="BV2" s="39" t="n"/>
      <c r="BW2" s="39" t="n"/>
      <c r="BX2" s="39" t="n"/>
      <c r="BY2" s="39" t="n"/>
      <c r="BZ2" s="40" t="inlineStr">
        <is>
          <t>FINDINGS</t>
        </is>
      </c>
      <c r="CA2" s="14" t="n"/>
    </row>
    <row r="3" ht="190" customHeight="1">
      <c r="A3" s="41" t="inlineStr">
        <is>
          <t>Model</t>
        </is>
      </c>
      <c r="B3" s="41" t="inlineStr">
        <is>
          <t>Producer</t>
        </is>
      </c>
      <c r="C3" s="41" t="inlineStr">
        <is>
          <t>Provider / Host</t>
        </is>
      </c>
      <c r="D3" s="41" t="inlineStr">
        <is>
          <t>Quantization</t>
        </is>
      </c>
      <c r="E3" s="41" t="inlineStr">
        <is>
          <t>Params</t>
        </is>
      </c>
      <c r="F3" s="41" t="inlineStr">
        <is>
          <t>Context</t>
        </is>
      </c>
      <c r="G3" s="41" t="inlineStr">
        <is>
          <t>Date tested</t>
        </is>
      </c>
      <c r="H3" s="41" t="inlineStr">
        <is>
          <t>Verdict</t>
        </is>
      </c>
      <c r="I3" s="41" t="inlineStr">
        <is>
          <t>Score</t>
        </is>
      </c>
      <c r="J3" s="41" t="inlineStr">
        <is>
          <t>Tested (n)</t>
        </is>
      </c>
      <c r="K3" s="42" t="inlineStr">
        <is>
          <t>Streaming</t>
        </is>
      </c>
      <c r="L3" s="42" t="inlineStr">
        <is>
          <t>Tool calling (basic)</t>
        </is>
      </c>
      <c r="M3" s="42" t="inlineStr">
        <is>
          <t>Parallel tool calls</t>
        </is>
      </c>
      <c r="N3" s="42" t="inlineStr">
        <is>
          <t>Multi-step tool loop</t>
        </is>
      </c>
      <c r="O3" s="42" t="inlineStr">
        <is>
          <t>Valid JSON args</t>
        </is>
      </c>
      <c r="P3" s="42" t="inlineStr">
        <is>
          <t>No hallucinated tools</t>
        </is>
      </c>
      <c r="Q3" s="42" t="inlineStr">
        <is>
          <t>System prompt adherence</t>
        </is>
      </c>
      <c r="R3" s="42" t="inlineStr">
        <is>
          <t>Long context &gt;32k</t>
        </is>
      </c>
      <c r="S3" s="42" t="inlineStr">
        <is>
          <t>Vision / image input</t>
        </is>
      </c>
      <c r="T3" s="42" t="inlineStr">
        <is>
          <t>Reasoning / thinking</t>
        </is>
      </c>
      <c r="U3" s="43" t="inlineStr">
        <is>
          <t>list_directory / read_file</t>
        </is>
      </c>
      <c r="V3" s="43" t="inlineStr">
        <is>
          <t>read_document</t>
        </is>
      </c>
      <c r="W3" s="43" t="inlineStr">
        <is>
          <t>save_file / append_file</t>
        </is>
      </c>
      <c r="X3" s="43" t="inlineStr">
        <is>
          <t>replace_text_in_file</t>
        </is>
      </c>
      <c r="Y3" s="43" t="inlineStr">
        <is>
          <t>insert_at_line / read_file_range</t>
        </is>
      </c>
      <c r="Z3" s="43" t="inlineStr">
        <is>
          <t>grep / find_files</t>
        </is>
      </c>
      <c r="AA3" s="44" t="inlineStr">
        <is>
          <t>create_pdf / spreadsheet / word</t>
        </is>
      </c>
      <c r="AB3" s="45" t="inlineStr">
        <is>
          <t>git_status / diff / log (read)</t>
        </is>
      </c>
      <c r="AC3" s="45" t="inlineStr">
        <is>
          <t>git_add / commit / branch (write)</t>
        </is>
      </c>
      <c r="AD3" s="46" t="inlineStr">
        <is>
          <t>execute_command</t>
        </is>
      </c>
      <c r="AE3" s="46" t="inlineStr">
        <is>
          <t>Background cmds / dev servers</t>
        </is>
      </c>
      <c r="AF3" s="46" t="inlineStr">
        <is>
          <t>run_javascript / run_python</t>
        </is>
      </c>
      <c r="AG3" s="46" t="inlineStr">
        <is>
          <t>read_command_log / stop_command</t>
        </is>
      </c>
      <c r="AH3" s="46" t="inlineStr">
        <is>
          <t>Code intel (repo_map, find_symbol)</t>
        </is>
      </c>
      <c r="AI3" s="44" t="inlineStr">
        <is>
          <t>get_lsp_diagnostics / list_lsp_servers</t>
        </is>
      </c>
      <c r="AJ3" s="47" t="inlineStr">
        <is>
          <t>web_search</t>
        </is>
      </c>
      <c r="AK3" s="47" t="inlineStr">
        <is>
          <t>fetch_web_content / rag_web_content</t>
        </is>
      </c>
      <c r="AL3" s="47" t="inlineStr">
        <is>
          <t>wikipedia_search</t>
        </is>
      </c>
      <c r="AM3" s="48" t="inlineStr">
        <is>
          <t>navigate / tabs</t>
        </is>
      </c>
      <c r="AN3" s="48" t="inlineStr">
        <is>
          <t>snapshot / click / fill</t>
        </is>
      </c>
      <c r="AO3" s="48" t="inlineStr">
        <is>
          <t>eval / screenshot</t>
        </is>
      </c>
      <c r="AP3" s="49" t="inlineStr">
        <is>
          <t>todo_write</t>
        </is>
      </c>
      <c r="AQ3" s="49" t="inlineStr">
        <is>
          <t>spawn_sub_agent</t>
        </is>
      </c>
      <c r="AR3" s="49" t="inlineStr">
        <is>
          <t>list / get / cancel sub-agents</t>
        </is>
      </c>
      <c r="AS3" s="49" t="inlineStr">
        <is>
          <t>delegate_tasks</t>
        </is>
      </c>
      <c r="AT3" s="49" t="inlineStr">
        <is>
          <t>board_init / board_update_task</t>
        </is>
      </c>
      <c r="AU3" s="49" t="inlineStr">
        <is>
          <t>board_report / board_get_state</t>
        </is>
      </c>
      <c r="AV3" s="49" t="inlineStr">
        <is>
          <t>issue_* tools</t>
        </is>
      </c>
      <c r="AW3" s="50" t="inlineStr">
        <is>
          <t>brain_search / read_page / list</t>
        </is>
      </c>
      <c r="AX3" s="50" t="inlineStr">
        <is>
          <t>brain_write_page / append_log / ingest</t>
        </is>
      </c>
      <c r="AY3" s="50" t="inlineStr">
        <is>
          <t>minnow_docs_*</t>
        </is>
      </c>
      <c r="AZ3" s="50" t="inlineStr">
        <is>
          <t>save_memory</t>
        </is>
      </c>
      <c r="BA3" s="50" t="inlineStr">
        <is>
          <t>recall_chat_context / recall_turn_full</t>
        </is>
      </c>
      <c r="BB3" s="51" t="inlineStr">
        <is>
          <t>Email: list / search / get_thread</t>
        </is>
      </c>
      <c r="BC3" s="51" t="inlineStr">
        <is>
          <t>Email: draft_reply / email_action</t>
        </is>
      </c>
      <c r="BD3" s="51" t="inlineStr">
        <is>
          <t>summarize_inbox / reply_variants</t>
        </is>
      </c>
      <c r="BE3" s="51" t="inlineStr">
        <is>
          <t>manage_calendar</t>
        </is>
      </c>
      <c r="BF3" s="51" t="inlineStr">
        <is>
          <t>Settings &amp; appearance tools</t>
        </is>
      </c>
      <c r="BG3" s="52" t="inlineStr">
        <is>
          <t>set_chat_mode / propose_mode_switch</t>
        </is>
      </c>
      <c r="BH3" s="52" t="inlineStr">
        <is>
          <t>create_chat_with_mode / launch app</t>
        </is>
      </c>
      <c r="BI3" s="52" t="inlineStr">
        <is>
          <t>Impeccable / aesthetics</t>
        </is>
      </c>
      <c r="BJ3" s="53" t="inlineStr">
        <is>
          <t>General</t>
        </is>
      </c>
      <c r="BK3" s="53" t="inlineStr">
        <is>
          <t>Build</t>
        </is>
      </c>
      <c r="BL3" s="53" t="inlineStr">
        <is>
          <t>Plan</t>
        </is>
      </c>
      <c r="BM3" s="53" t="inlineStr">
        <is>
          <t>Super Plan</t>
        </is>
      </c>
      <c r="BN3" s="53" t="inlineStr">
        <is>
          <t>Orchestrate</t>
        </is>
      </c>
      <c r="BO3" s="53" t="inlineStr">
        <is>
          <t>Debug</t>
        </is>
      </c>
      <c r="BP3" s="53" t="inlineStr">
        <is>
          <t>Desktop</t>
        </is>
      </c>
      <c r="BQ3" s="53" t="inlineStr">
        <is>
          <t>Email</t>
        </is>
      </c>
      <c r="BR3" s="53" t="inlineStr">
        <is>
          <t>Onboarding</t>
        </is>
      </c>
      <c r="BS3" s="54" t="inlineStr">
        <is>
          <t>Research</t>
        </is>
      </c>
      <c r="BT3" s="54" t="inlineStr">
        <is>
          <t>Compare</t>
        </is>
      </c>
      <c r="BU3" s="54" t="inlineStr">
        <is>
          <t>Chat title generation</t>
        </is>
      </c>
      <c r="BV3" s="54" t="inlineStr">
        <is>
          <t>Skills / plugins</t>
        </is>
      </c>
      <c r="BW3" s="54" t="inlineStr">
        <is>
          <t>MCP servers</t>
        </is>
      </c>
      <c r="BX3" s="54" t="inlineStr">
        <is>
          <t>Voice</t>
        </is>
      </c>
      <c r="BY3" s="54" t="inlineStr">
        <is>
          <t>Markdown &amp; code fences</t>
        </is>
      </c>
      <c r="BZ3" s="41" t="inlineStr">
        <is>
          <t>Blocking issues</t>
        </is>
      </c>
      <c r="CA3" s="41" t="inlineStr">
        <is>
          <t>Notes</t>
        </is>
      </c>
    </row>
    <row r="4" ht="18" customHeight="1">
      <c r="A4" s="55" t="inlineStr">
        <is>
          <t>EXAMPLE - Qwen/Qwen3-Coder-30B-A3B-Instruct</t>
        </is>
      </c>
      <c r="B4" s="56" t="inlineStr">
        <is>
          <t>Qwen</t>
        </is>
      </c>
      <c r="C4" s="56" t="inlineStr">
        <is>
          <t>LM Studio (GGUF)</t>
        </is>
      </c>
      <c r="D4" s="56" t="inlineStr">
        <is>
          <t>Q4_K_M</t>
        </is>
      </c>
      <c r="E4" s="56" t="inlineStr">
        <is>
          <t>30.5B</t>
        </is>
      </c>
      <c r="F4" s="56" t="inlineStr">
        <is>
          <t>262k</t>
        </is>
      </c>
      <c r="G4" s="57" t="inlineStr">
        <is>
          <t>2026-08-10</t>
        </is>
      </c>
      <c r="H4" s="56" t="inlineStr">
        <is>
          <t>Works with caveats</t>
        </is>
      </c>
      <c r="I4" s="58">
        <f>IFERROR((COUNTIF(K4:BY4,"✅")+0.5*COUNTIF(K4:BY4,"⚠️"))/(COUNTIF(K4:BY4,"✅")+COUNTIF(K4:BY4,"⚠️")+COUNTIF(K4:BY4,"❌")),"")</f>
        <v/>
      </c>
      <c r="J4" s="57">
        <f>COUNTIF(K4:BY4,"✅")+COUNTIF(K4:BY4,"⚠️")+COUNTIF(K4:BY4,"❌")+COUNTIF(K4:BY4,"➖")</f>
        <v/>
      </c>
      <c r="K4" s="59" t="inlineStr">
        <is>
          <t>✅</t>
        </is>
      </c>
      <c r="L4" s="59" t="inlineStr">
        <is>
          <t>✅</t>
        </is>
      </c>
      <c r="M4" s="59" t="inlineStr">
        <is>
          <t>✅</t>
        </is>
      </c>
      <c r="N4" s="59" t="inlineStr">
        <is>
          <t>⚠️</t>
        </is>
      </c>
      <c r="O4" s="59" t="inlineStr">
        <is>
          <t>✅</t>
        </is>
      </c>
      <c r="P4" s="59" t="inlineStr">
        <is>
          <t>⚠️</t>
        </is>
      </c>
      <c r="Q4" s="59" t="inlineStr">
        <is>
          <t>✅</t>
        </is>
      </c>
      <c r="R4" s="59" t="inlineStr">
        <is>
          <t>➖</t>
        </is>
      </c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  <c r="BV4" s="59" t="n"/>
      <c r="BW4" s="59" t="n"/>
      <c r="BX4" s="59" t="n"/>
      <c r="BY4" s="59" t="n"/>
      <c r="BZ4" s="60" t="n"/>
      <c r="CA4" s="60" t="inlineStr">
        <is>
          <t>Strong on files/git/shell. Drops the tool loop after ~6 chained calls.</t>
        </is>
      </c>
    </row>
    <row r="5" ht="18" customHeight="1">
      <c r="A5" s="61" t="inlineStr">
        <is>
          <t>Qwen/Qwen3-Coder-30B-A3B-Instruct</t>
        </is>
      </c>
      <c r="B5" s="62" t="inlineStr">
        <is>
          <t>Qwen</t>
        </is>
      </c>
      <c r="C5" s="62" t="inlineStr">
        <is>
          <t>LM Studio (GGUF)</t>
        </is>
      </c>
      <c r="D5" s="62" t="inlineStr">
        <is>
          <t>Q4_K_M</t>
        </is>
      </c>
      <c r="E5" s="62" t="inlineStr">
        <is>
          <t>30.5B</t>
        </is>
      </c>
      <c r="F5" s="62" t="inlineStr">
        <is>
          <t>262k</t>
        </is>
      </c>
      <c r="G5" s="63" t="n"/>
      <c r="H5" s="62" t="inlineStr">
        <is>
          <t>Untested</t>
        </is>
      </c>
      <c r="I5" s="64">
        <f>IFERROR((COUNTIF(K5:BY5,"✅")+0.5*COUNTIF(K5:BY5,"⚠️"))/(COUNTIF(K5:BY5,"✅")+COUNTIF(K5:BY5,"⚠️")+COUNTIF(K5:BY5,"❌")),"")</f>
        <v/>
      </c>
      <c r="J5" s="63">
        <f>COUNTIF(K5:BY5,"✅")+COUNTIF(K5:BY5,"⚠️")+COUNTIF(K5:BY5,"❌")+COUNTIF(K5:BY5,"➖")</f>
        <v/>
      </c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5" t="n"/>
      <c r="AI5" s="65" t="n"/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5" t="n"/>
      <c r="AV5" s="65" t="n"/>
      <c r="AW5" s="65" t="n"/>
      <c r="AX5" s="65" t="n"/>
      <c r="AY5" s="65" t="n"/>
      <c r="AZ5" s="65" t="n"/>
      <c r="BA5" s="65" t="n"/>
      <c r="BB5" s="65" t="n"/>
      <c r="BC5" s="65" t="n"/>
      <c r="BD5" s="65" t="n"/>
      <c r="BE5" s="65" t="n"/>
      <c r="BF5" s="65" t="n"/>
      <c r="BG5" s="65" t="n"/>
      <c r="BH5" s="65" t="n"/>
      <c r="BI5" s="65" t="n"/>
      <c r="BJ5" s="65" t="n"/>
      <c r="BK5" s="65" t="n"/>
      <c r="BL5" s="65" t="n"/>
      <c r="BM5" s="65" t="n"/>
      <c r="BN5" s="65" t="n"/>
      <c r="BO5" s="65" t="n"/>
      <c r="BP5" s="65" t="n"/>
      <c r="BQ5" s="65" t="n"/>
      <c r="BR5" s="65" t="n"/>
      <c r="BS5" s="65" t="n"/>
      <c r="BT5" s="65" t="n"/>
      <c r="BU5" s="65" t="n"/>
      <c r="BV5" s="65" t="n"/>
      <c r="BW5" s="65" t="n"/>
      <c r="BX5" s="65" t="n"/>
      <c r="BY5" s="65" t="n"/>
      <c r="BZ5" s="66" t="n"/>
      <c r="CA5" s="66" t="n"/>
    </row>
    <row r="6" ht="18" customHeight="1">
      <c r="A6" s="61" t="inlineStr">
        <is>
          <t>Qwen/Qwen3-Coder-30B-A3B-Instruct</t>
        </is>
      </c>
      <c r="B6" s="62" t="inlineStr">
        <is>
          <t>Qwen</t>
        </is>
      </c>
      <c r="C6" s="62" t="inlineStr">
        <is>
          <t>LM Studio (GGUF)</t>
        </is>
      </c>
      <c r="D6" s="62" t="inlineStr">
        <is>
          <t>Q8_0</t>
        </is>
      </c>
      <c r="E6" s="62" t="inlineStr">
        <is>
          <t>30.5B</t>
        </is>
      </c>
      <c r="F6" s="62" t="inlineStr">
        <is>
          <t>262k</t>
        </is>
      </c>
      <c r="G6" s="63" t="n"/>
      <c r="H6" s="62" t="inlineStr">
        <is>
          <t>Untested</t>
        </is>
      </c>
      <c r="I6" s="64">
        <f>IFERROR((COUNTIF(K6:BY6,"✅")+0.5*COUNTIF(K6:BY6,"⚠️"))/(COUNTIF(K6:BY6,"✅")+COUNTIF(K6:BY6,"⚠️")+COUNTIF(K6:BY6,"❌")),"")</f>
        <v/>
      </c>
      <c r="J6" s="63">
        <f>COUNTIF(K6:BY6,"✅")+COUNTIF(K6:BY6,"⚠️")+COUNTIF(K6:BY6,"❌")+COUNTIF(K6:BY6,"➖")</f>
        <v/>
      </c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  <c r="AF6" s="65" t="n"/>
      <c r="AG6" s="65" t="n"/>
      <c r="AH6" s="65" t="n"/>
      <c r="AI6" s="65" t="n"/>
      <c r="AJ6" s="65" t="n"/>
      <c r="AK6" s="65" t="n"/>
      <c r="AL6" s="65" t="n"/>
      <c r="AM6" s="65" t="n"/>
      <c r="AN6" s="65" t="n"/>
      <c r="AO6" s="65" t="n"/>
      <c r="AP6" s="65" t="n"/>
      <c r="AQ6" s="65" t="n"/>
      <c r="AR6" s="65" t="n"/>
      <c r="AS6" s="65" t="n"/>
      <c r="AT6" s="65" t="n"/>
      <c r="AU6" s="65" t="n"/>
      <c r="AV6" s="65" t="n"/>
      <c r="AW6" s="65" t="n"/>
      <c r="AX6" s="65" t="n"/>
      <c r="AY6" s="65" t="n"/>
      <c r="AZ6" s="65" t="n"/>
      <c r="BA6" s="65" t="n"/>
      <c r="BB6" s="65" t="n"/>
      <c r="BC6" s="65" t="n"/>
      <c r="BD6" s="65" t="n"/>
      <c r="BE6" s="65" t="n"/>
      <c r="BF6" s="65" t="n"/>
      <c r="BG6" s="65" t="n"/>
      <c r="BH6" s="65" t="n"/>
      <c r="BI6" s="65" t="n"/>
      <c r="BJ6" s="65" t="n"/>
      <c r="BK6" s="65" t="n"/>
      <c r="BL6" s="65" t="n"/>
      <c r="BM6" s="65" t="n"/>
      <c r="BN6" s="65" t="n"/>
      <c r="BO6" s="65" t="n"/>
      <c r="BP6" s="65" t="n"/>
      <c r="BQ6" s="65" t="n"/>
      <c r="BR6" s="65" t="n"/>
      <c r="BS6" s="65" t="n"/>
      <c r="BT6" s="65" t="n"/>
      <c r="BU6" s="65" t="n"/>
      <c r="BV6" s="65" t="n"/>
      <c r="BW6" s="65" t="n"/>
      <c r="BX6" s="65" t="n"/>
      <c r="BY6" s="65" t="n"/>
      <c r="BZ6" s="66" t="n"/>
      <c r="CA6" s="66" t="n"/>
    </row>
    <row r="7" ht="18" customHeight="1">
      <c r="A7" s="61" t="inlineStr">
        <is>
          <t>lmstudio-community/Qwen3-Coder-30B-A3B-Instruct-MLX</t>
        </is>
      </c>
      <c r="B7" s="62" t="inlineStr">
        <is>
          <t>Qwen</t>
        </is>
      </c>
      <c r="C7" s="62" t="inlineStr">
        <is>
          <t>LM Studio (MLX)</t>
        </is>
      </c>
      <c r="D7" s="62" t="inlineStr">
        <is>
          <t>MLX-4bit</t>
        </is>
      </c>
      <c r="E7" s="62" t="inlineStr">
        <is>
          <t>30.5B</t>
        </is>
      </c>
      <c r="F7" s="62" t="inlineStr">
        <is>
          <t>262k</t>
        </is>
      </c>
      <c r="G7" s="63" t="n"/>
      <c r="H7" s="62" t="inlineStr">
        <is>
          <t>Untested</t>
        </is>
      </c>
      <c r="I7" s="64">
        <f>IFERROR((COUNTIF(K7:BY7,"✅")+0.5*COUNTIF(K7:BY7,"⚠️"))/(COUNTIF(K7:BY7,"✅")+COUNTIF(K7:BY7,"⚠️")+COUNTIF(K7:BY7,"❌")),"")</f>
        <v/>
      </c>
      <c r="J7" s="63">
        <f>COUNTIF(K7:BY7,"✅")+COUNTIF(K7:BY7,"⚠️")+COUNTIF(K7:BY7,"❌")+COUNTIF(K7:BY7,"➖")</f>
        <v/>
      </c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5" t="n"/>
      <c r="AI7" s="65" t="n"/>
      <c r="AJ7" s="65" t="n"/>
      <c r="AK7" s="65" t="n"/>
      <c r="AL7" s="65" t="n"/>
      <c r="AM7" s="65" t="n"/>
      <c r="AN7" s="65" t="n"/>
      <c r="AO7" s="65" t="n"/>
      <c r="AP7" s="65" t="n"/>
      <c r="AQ7" s="65" t="n"/>
      <c r="AR7" s="65" t="n"/>
      <c r="AS7" s="65" t="n"/>
      <c r="AT7" s="65" t="n"/>
      <c r="AU7" s="65" t="n"/>
      <c r="AV7" s="65" t="n"/>
      <c r="AW7" s="65" t="n"/>
      <c r="AX7" s="65" t="n"/>
      <c r="AY7" s="65" t="n"/>
      <c r="AZ7" s="65" t="n"/>
      <c r="BA7" s="65" t="n"/>
      <c r="BB7" s="65" t="n"/>
      <c r="BC7" s="65" t="n"/>
      <c r="BD7" s="65" t="n"/>
      <c r="BE7" s="65" t="n"/>
      <c r="BF7" s="65" t="n"/>
      <c r="BG7" s="65" t="n"/>
      <c r="BH7" s="65" t="n"/>
      <c r="BI7" s="65" t="n"/>
      <c r="BJ7" s="65" t="n"/>
      <c r="BK7" s="65" t="n"/>
      <c r="BL7" s="65" t="n"/>
      <c r="BM7" s="65" t="n"/>
      <c r="BN7" s="65" t="n"/>
      <c r="BO7" s="65" t="n"/>
      <c r="BP7" s="65" t="n"/>
      <c r="BQ7" s="65" t="n"/>
      <c r="BR7" s="65" t="n"/>
      <c r="BS7" s="65" t="n"/>
      <c r="BT7" s="65" t="n"/>
      <c r="BU7" s="65" t="n"/>
      <c r="BV7" s="65" t="n"/>
      <c r="BW7" s="65" t="n"/>
      <c r="BX7" s="65" t="n"/>
      <c r="BY7" s="65" t="n"/>
      <c r="BZ7" s="66" t="n"/>
      <c r="CA7" s="66" t="n"/>
    </row>
    <row r="8" ht="18" customHeight="1">
      <c r="A8" s="61" t="inlineStr">
        <is>
          <t>Qwen/Qwen3-Coder-Next</t>
        </is>
      </c>
      <c r="B8" s="62" t="inlineStr">
        <is>
          <t>Qwen</t>
        </is>
      </c>
      <c r="C8" s="62" t="inlineStr">
        <is>
          <t>LM Studio (GGUF)</t>
        </is>
      </c>
      <c r="D8" s="62" t="inlineStr">
        <is>
          <t>Q4_K_M</t>
        </is>
      </c>
      <c r="E8" s="62" t="inlineStr">
        <is>
          <t>79.7B</t>
        </is>
      </c>
      <c r="F8" s="62" t="inlineStr">
        <is>
          <t>262k</t>
        </is>
      </c>
      <c r="G8" s="63" t="n"/>
      <c r="H8" s="62" t="inlineStr">
        <is>
          <t>Untested</t>
        </is>
      </c>
      <c r="I8" s="64">
        <f>IFERROR((COUNTIF(K8:BY8,"✅")+0.5*COUNTIF(K8:BY8,"⚠️"))/(COUNTIF(K8:BY8,"✅")+COUNTIF(K8:BY8,"⚠️")+COUNTIF(K8:BY8,"❌")),"")</f>
        <v/>
      </c>
      <c r="J8" s="63">
        <f>COUNTIF(K8:BY8,"✅")+COUNTIF(K8:BY8,"⚠️")+COUNTIF(K8:BY8,"❌")+COUNTIF(K8:BY8,"➖")</f>
        <v/>
      </c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  <c r="BL8" s="65" t="n"/>
      <c r="BM8" s="65" t="n"/>
      <c r="BN8" s="65" t="n"/>
      <c r="BO8" s="65" t="n"/>
      <c r="BP8" s="65" t="n"/>
      <c r="BQ8" s="65" t="n"/>
      <c r="BR8" s="65" t="n"/>
      <c r="BS8" s="65" t="n"/>
      <c r="BT8" s="65" t="n"/>
      <c r="BU8" s="65" t="n"/>
      <c r="BV8" s="65" t="n"/>
      <c r="BW8" s="65" t="n"/>
      <c r="BX8" s="65" t="n"/>
      <c r="BY8" s="65" t="n"/>
      <c r="BZ8" s="66" t="n"/>
      <c r="CA8" s="66" t="n"/>
    </row>
    <row r="9" ht="18" customHeight="1">
      <c r="A9" s="61" t="inlineStr">
        <is>
          <t>Qwen/Qwen3-30B-A3B-Instruct-2507</t>
        </is>
      </c>
      <c r="B9" s="62" t="inlineStr">
        <is>
          <t>Qwen</t>
        </is>
      </c>
      <c r="C9" s="62" t="inlineStr">
        <is>
          <t>LM Studio (GGUF)</t>
        </is>
      </c>
      <c r="D9" s="62" t="inlineStr">
        <is>
          <t>Q4_K_M</t>
        </is>
      </c>
      <c r="E9" s="62" t="inlineStr">
        <is>
          <t>30.5B</t>
        </is>
      </c>
      <c r="F9" s="62" t="inlineStr">
        <is>
          <t>262k</t>
        </is>
      </c>
      <c r="G9" s="63" t="n"/>
      <c r="H9" s="62" t="inlineStr">
        <is>
          <t>Untested</t>
        </is>
      </c>
      <c r="I9" s="64">
        <f>IFERROR((COUNTIF(K9:BY9,"✅")+0.5*COUNTIF(K9:BY9,"⚠️"))/(COUNTIF(K9:BY9,"✅")+COUNTIF(K9:BY9,"⚠️")+COUNTIF(K9:BY9,"❌")),"")</f>
        <v/>
      </c>
      <c r="J9" s="63">
        <f>COUNTIF(K9:BY9,"✅")+COUNTIF(K9:BY9,"⚠️")+COUNTIF(K9:BY9,"❌")+COUNTIF(K9:BY9,"➖")</f>
        <v/>
      </c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  <c r="AF9" s="65" t="n"/>
      <c r="AG9" s="65" t="n"/>
      <c r="AH9" s="65" t="n"/>
      <c r="AI9" s="65" t="n"/>
      <c r="AJ9" s="65" t="n"/>
      <c r="AK9" s="65" t="n"/>
      <c r="AL9" s="65" t="n"/>
      <c r="AM9" s="65" t="n"/>
      <c r="AN9" s="65" t="n"/>
      <c r="AO9" s="65" t="n"/>
      <c r="AP9" s="65" t="n"/>
      <c r="AQ9" s="65" t="n"/>
      <c r="AR9" s="65" t="n"/>
      <c r="AS9" s="65" t="n"/>
      <c r="AT9" s="65" t="n"/>
      <c r="AU9" s="65" t="n"/>
      <c r="AV9" s="65" t="n"/>
      <c r="AW9" s="65" t="n"/>
      <c r="AX9" s="65" t="n"/>
      <c r="AY9" s="65" t="n"/>
      <c r="AZ9" s="65" t="n"/>
      <c r="BA9" s="65" t="n"/>
      <c r="BB9" s="65" t="n"/>
      <c r="BC9" s="65" t="n"/>
      <c r="BD9" s="65" t="n"/>
      <c r="BE9" s="65" t="n"/>
      <c r="BF9" s="65" t="n"/>
      <c r="BG9" s="65" t="n"/>
      <c r="BH9" s="65" t="n"/>
      <c r="BI9" s="65" t="n"/>
      <c r="BJ9" s="65" t="n"/>
      <c r="BK9" s="65" t="n"/>
      <c r="BL9" s="65" t="n"/>
      <c r="BM9" s="65" t="n"/>
      <c r="BN9" s="65" t="n"/>
      <c r="BO9" s="65" t="n"/>
      <c r="BP9" s="65" t="n"/>
      <c r="BQ9" s="65" t="n"/>
      <c r="BR9" s="65" t="n"/>
      <c r="BS9" s="65" t="n"/>
      <c r="BT9" s="65" t="n"/>
      <c r="BU9" s="65" t="n"/>
      <c r="BV9" s="65" t="n"/>
      <c r="BW9" s="65" t="n"/>
      <c r="BX9" s="65" t="n"/>
      <c r="BY9" s="65" t="n"/>
      <c r="BZ9" s="66" t="n"/>
      <c r="CA9" s="66" t="n"/>
    </row>
    <row r="10" ht="18" customHeight="1">
      <c r="A10" s="61" t="inlineStr">
        <is>
          <t>Qwen/Qwen3-30B-A3B-Thinking-2507</t>
        </is>
      </c>
      <c r="B10" s="62" t="inlineStr">
        <is>
          <t>Qwen</t>
        </is>
      </c>
      <c r="C10" s="62" t="inlineStr">
        <is>
          <t>LM Studio (GGUF)</t>
        </is>
      </c>
      <c r="D10" s="62" t="inlineStr">
        <is>
          <t>Q4_K_M</t>
        </is>
      </c>
      <c r="E10" s="62" t="inlineStr">
        <is>
          <t>30.5B</t>
        </is>
      </c>
      <c r="F10" s="62" t="inlineStr">
        <is>
          <t>262k</t>
        </is>
      </c>
      <c r="G10" s="63" t="n"/>
      <c r="H10" s="62" t="inlineStr">
        <is>
          <t>Untested</t>
        </is>
      </c>
      <c r="I10" s="64">
        <f>IFERROR((COUNTIF(K10:BY10,"✅")+0.5*COUNTIF(K10:BY10,"⚠️"))/(COUNTIF(K10:BY10,"✅")+COUNTIF(K10:BY10,"⚠️")+COUNTIF(K10:BY10,"❌")),"")</f>
        <v/>
      </c>
      <c r="J10" s="63">
        <f>COUNTIF(K10:BY10,"✅")+COUNTIF(K10:BY10,"⚠️")+COUNTIF(K10:BY10,"❌")+COUNTIF(K10:BY10,"➖")</f>
        <v/>
      </c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5" t="n"/>
      <c r="AH10" s="65" t="n"/>
      <c r="AI10" s="65" t="n"/>
      <c r="AJ10" s="65" t="n"/>
      <c r="AK10" s="65" t="n"/>
      <c r="AL10" s="65" t="n"/>
      <c r="AM10" s="65" t="n"/>
      <c r="AN10" s="65" t="n"/>
      <c r="AO10" s="65" t="n"/>
      <c r="AP10" s="65" t="n"/>
      <c r="AQ10" s="65" t="n"/>
      <c r="AR10" s="65" t="n"/>
      <c r="AS10" s="65" t="n"/>
      <c r="AT10" s="65" t="n"/>
      <c r="AU10" s="65" t="n"/>
      <c r="AV10" s="65" t="n"/>
      <c r="AW10" s="65" t="n"/>
      <c r="AX10" s="65" t="n"/>
      <c r="AY10" s="65" t="n"/>
      <c r="AZ10" s="65" t="n"/>
      <c r="BA10" s="65" t="n"/>
      <c r="BB10" s="65" t="n"/>
      <c r="BC10" s="65" t="n"/>
      <c r="BD10" s="65" t="n"/>
      <c r="BE10" s="65" t="n"/>
      <c r="BF10" s="65" t="n"/>
      <c r="BG10" s="65" t="n"/>
      <c r="BH10" s="65" t="n"/>
      <c r="BI10" s="65" t="n"/>
      <c r="BJ10" s="65" t="n"/>
      <c r="BK10" s="65" t="n"/>
      <c r="BL10" s="65" t="n"/>
      <c r="BM10" s="65" t="n"/>
      <c r="BN10" s="65" t="n"/>
      <c r="BO10" s="65" t="n"/>
      <c r="BP10" s="65" t="n"/>
      <c r="BQ10" s="65" t="n"/>
      <c r="BR10" s="65" t="n"/>
      <c r="BS10" s="65" t="n"/>
      <c r="BT10" s="65" t="n"/>
      <c r="BU10" s="65" t="n"/>
      <c r="BV10" s="65" t="n"/>
      <c r="BW10" s="65" t="n"/>
      <c r="BX10" s="65" t="n"/>
      <c r="BY10" s="65" t="n"/>
      <c r="BZ10" s="66" t="n"/>
      <c r="CA10" s="66" t="n"/>
    </row>
    <row r="11" ht="18" customHeight="1">
      <c r="A11" s="61" t="inlineStr">
        <is>
          <t>Qwen/Qwen3-Next-80B-A3B-Instruct</t>
        </is>
      </c>
      <c r="B11" s="62" t="inlineStr">
        <is>
          <t>Qwen</t>
        </is>
      </c>
      <c r="C11" s="62" t="inlineStr">
        <is>
          <t>LM Studio (GGUF)</t>
        </is>
      </c>
      <c r="D11" s="62" t="inlineStr">
        <is>
          <t>Q4_K_M</t>
        </is>
      </c>
      <c r="E11" s="62" t="inlineStr">
        <is>
          <t>81.3B</t>
        </is>
      </c>
      <c r="F11" s="62" t="inlineStr">
        <is>
          <t>262k</t>
        </is>
      </c>
      <c r="G11" s="63" t="n"/>
      <c r="H11" s="62" t="inlineStr">
        <is>
          <t>Untested</t>
        </is>
      </c>
      <c r="I11" s="64">
        <f>IFERROR((COUNTIF(K11:BY11,"✅")+0.5*COUNTIF(K11:BY11,"⚠️"))/(COUNTIF(K11:BY11,"✅")+COUNTIF(K11:BY11,"⚠️")+COUNTIF(K11:BY11,"❌")),"")</f>
        <v/>
      </c>
      <c r="J11" s="63">
        <f>COUNTIF(K11:BY11,"✅")+COUNTIF(K11:BY11,"⚠️")+COUNTIF(K11:BY11,"❌")+COUNTIF(K11:BY11,"➖")</f>
        <v/>
      </c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5" t="n"/>
      <c r="AG11" s="65" t="n"/>
      <c r="AH11" s="65" t="n"/>
      <c r="AI11" s="65" t="n"/>
      <c r="AJ11" s="65" t="n"/>
      <c r="AK11" s="65" t="n"/>
      <c r="AL11" s="65" t="n"/>
      <c r="AM11" s="65" t="n"/>
      <c r="AN11" s="65" t="n"/>
      <c r="AO11" s="65" t="n"/>
      <c r="AP11" s="65" t="n"/>
      <c r="AQ11" s="65" t="n"/>
      <c r="AR11" s="65" t="n"/>
      <c r="AS11" s="65" t="n"/>
      <c r="AT11" s="65" t="n"/>
      <c r="AU11" s="65" t="n"/>
      <c r="AV11" s="65" t="n"/>
      <c r="AW11" s="65" t="n"/>
      <c r="AX11" s="65" t="n"/>
      <c r="AY11" s="65" t="n"/>
      <c r="AZ11" s="65" t="n"/>
      <c r="BA11" s="65" t="n"/>
      <c r="BB11" s="65" t="n"/>
      <c r="BC11" s="65" t="n"/>
      <c r="BD11" s="65" t="n"/>
      <c r="BE11" s="65" t="n"/>
      <c r="BF11" s="65" t="n"/>
      <c r="BG11" s="65" t="n"/>
      <c r="BH11" s="65" t="n"/>
      <c r="BI11" s="65" t="n"/>
      <c r="BJ11" s="65" t="n"/>
      <c r="BK11" s="65" t="n"/>
      <c r="BL11" s="65" t="n"/>
      <c r="BM11" s="65" t="n"/>
      <c r="BN11" s="65" t="n"/>
      <c r="BO11" s="65" t="n"/>
      <c r="BP11" s="65" t="n"/>
      <c r="BQ11" s="65" t="n"/>
      <c r="BR11" s="65" t="n"/>
      <c r="BS11" s="65" t="n"/>
      <c r="BT11" s="65" t="n"/>
      <c r="BU11" s="65" t="n"/>
      <c r="BV11" s="65" t="n"/>
      <c r="BW11" s="65" t="n"/>
      <c r="BX11" s="65" t="n"/>
      <c r="BY11" s="65" t="n"/>
      <c r="BZ11" s="66" t="n"/>
      <c r="CA11" s="66" t="n"/>
    </row>
    <row r="12" ht="18" customHeight="1">
      <c r="A12" s="61" t="inlineStr">
        <is>
          <t>Qwen/Qwen3-32B</t>
        </is>
      </c>
      <c r="B12" s="62" t="inlineStr">
        <is>
          <t>Qwen</t>
        </is>
      </c>
      <c r="C12" s="62" t="inlineStr">
        <is>
          <t>LM Studio (GGUF)</t>
        </is>
      </c>
      <c r="D12" s="62" t="inlineStr">
        <is>
          <t>Q4_K_M</t>
        </is>
      </c>
      <c r="E12" s="62" t="inlineStr">
        <is>
          <t>32.8B</t>
        </is>
      </c>
      <c r="F12" s="62" t="inlineStr">
        <is>
          <t>41k</t>
        </is>
      </c>
      <c r="G12" s="63" t="n"/>
      <c r="H12" s="62" t="inlineStr">
        <is>
          <t>Untested</t>
        </is>
      </c>
      <c r="I12" s="64">
        <f>IFERROR((COUNTIF(K12:BY12,"✅")+0.5*COUNTIF(K12:BY12,"⚠️"))/(COUNTIF(K12:BY12,"✅")+COUNTIF(K12:BY12,"⚠️")+COUNTIF(K12:BY12,"❌")),"")</f>
        <v/>
      </c>
      <c r="J12" s="63">
        <f>COUNTIF(K12:BY12,"✅")+COUNTIF(K12:BY12,"⚠️")+COUNTIF(K12:BY12,"❌")+COUNTIF(K12:BY12,"➖")</f>
        <v/>
      </c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5" t="n"/>
      <c r="AI12" s="65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65" t="n"/>
      <c r="AX12" s="65" t="n"/>
      <c r="AY12" s="65" t="n"/>
      <c r="AZ12" s="65" t="n"/>
      <c r="BA12" s="65" t="n"/>
      <c r="BB12" s="65" t="n"/>
      <c r="BC12" s="65" t="n"/>
      <c r="BD12" s="65" t="n"/>
      <c r="BE12" s="65" t="n"/>
      <c r="BF12" s="65" t="n"/>
      <c r="BG12" s="65" t="n"/>
      <c r="BH12" s="65" t="n"/>
      <c r="BI12" s="65" t="n"/>
      <c r="BJ12" s="65" t="n"/>
      <c r="BK12" s="65" t="n"/>
      <c r="BL12" s="65" t="n"/>
      <c r="BM12" s="65" t="n"/>
      <c r="BN12" s="65" t="n"/>
      <c r="BO12" s="65" t="n"/>
      <c r="BP12" s="65" t="n"/>
      <c r="BQ12" s="65" t="n"/>
      <c r="BR12" s="65" t="n"/>
      <c r="BS12" s="65" t="n"/>
      <c r="BT12" s="65" t="n"/>
      <c r="BU12" s="65" t="n"/>
      <c r="BV12" s="65" t="n"/>
      <c r="BW12" s="65" t="n"/>
      <c r="BX12" s="65" t="n"/>
      <c r="BY12" s="65" t="n"/>
      <c r="BZ12" s="66" t="n"/>
      <c r="CA12" s="66" t="n"/>
    </row>
    <row r="13" ht="18" customHeight="1">
      <c r="A13" s="61" t="inlineStr">
        <is>
          <t>Qwen/Qwen3-14B</t>
        </is>
      </c>
      <c r="B13" s="62" t="inlineStr">
        <is>
          <t>Qwen</t>
        </is>
      </c>
      <c r="C13" s="62" t="inlineStr">
        <is>
          <t>LM Studio (GGUF)</t>
        </is>
      </c>
      <c r="D13" s="62" t="inlineStr">
        <is>
          <t>Q4_K_M</t>
        </is>
      </c>
      <c r="E13" s="62" t="inlineStr">
        <is>
          <t>14.8B</t>
        </is>
      </c>
      <c r="F13" s="62" t="inlineStr">
        <is>
          <t>41k</t>
        </is>
      </c>
      <c r="G13" s="63" t="n"/>
      <c r="H13" s="62" t="inlineStr">
        <is>
          <t>Untested</t>
        </is>
      </c>
      <c r="I13" s="64">
        <f>IFERROR((COUNTIF(K13:BY13,"✅")+0.5*COUNTIF(K13:BY13,"⚠️"))/(COUNTIF(K13:BY13,"✅")+COUNTIF(K13:BY13,"⚠️")+COUNTIF(K13:BY13,"❌")),"")</f>
        <v/>
      </c>
      <c r="J13" s="63">
        <f>COUNTIF(K13:BY13,"✅")+COUNTIF(K13:BY13,"⚠️")+COUNTIF(K13:BY13,"❌")+COUNTIF(K13:BY13,"➖")</f>
        <v/>
      </c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5" t="n"/>
      <c r="AI13" s="65" t="n"/>
      <c r="AJ13" s="65" t="n"/>
      <c r="AK13" s="65" t="n"/>
      <c r="AL13" s="65" t="n"/>
      <c r="AM13" s="65" t="n"/>
      <c r="AN13" s="65" t="n"/>
      <c r="AO13" s="65" t="n"/>
      <c r="AP13" s="65" t="n"/>
      <c r="AQ13" s="65" t="n"/>
      <c r="AR13" s="65" t="n"/>
      <c r="AS13" s="65" t="n"/>
      <c r="AT13" s="65" t="n"/>
      <c r="AU13" s="65" t="n"/>
      <c r="AV13" s="65" t="n"/>
      <c r="AW13" s="65" t="n"/>
      <c r="AX13" s="65" t="n"/>
      <c r="AY13" s="65" t="n"/>
      <c r="AZ13" s="65" t="n"/>
      <c r="BA13" s="65" t="n"/>
      <c r="BB13" s="65" t="n"/>
      <c r="BC13" s="65" t="n"/>
      <c r="BD13" s="65" t="n"/>
      <c r="BE13" s="65" t="n"/>
      <c r="BF13" s="65" t="n"/>
      <c r="BG13" s="65" t="n"/>
      <c r="BH13" s="65" t="n"/>
      <c r="BI13" s="65" t="n"/>
      <c r="BJ13" s="65" t="n"/>
      <c r="BK13" s="65" t="n"/>
      <c r="BL13" s="65" t="n"/>
      <c r="BM13" s="65" t="n"/>
      <c r="BN13" s="65" t="n"/>
      <c r="BO13" s="65" t="n"/>
      <c r="BP13" s="65" t="n"/>
      <c r="BQ13" s="65" t="n"/>
      <c r="BR13" s="65" t="n"/>
      <c r="BS13" s="65" t="n"/>
      <c r="BT13" s="65" t="n"/>
      <c r="BU13" s="65" t="n"/>
      <c r="BV13" s="65" t="n"/>
      <c r="BW13" s="65" t="n"/>
      <c r="BX13" s="65" t="n"/>
      <c r="BY13" s="65" t="n"/>
      <c r="BZ13" s="66" t="n"/>
      <c r="CA13" s="66" t="n"/>
    </row>
    <row r="14" ht="18" customHeight="1">
      <c r="A14" s="61" t="inlineStr">
        <is>
          <t>Qwen/Qwen3-8B</t>
        </is>
      </c>
      <c r="B14" s="62" t="inlineStr">
        <is>
          <t>Qwen</t>
        </is>
      </c>
      <c r="C14" s="62" t="inlineStr">
        <is>
          <t>LM Studio (GGUF)</t>
        </is>
      </c>
      <c r="D14" s="62" t="inlineStr">
        <is>
          <t>Q4_K_M</t>
        </is>
      </c>
      <c r="E14" s="62" t="inlineStr">
        <is>
          <t>8.2B</t>
        </is>
      </c>
      <c r="F14" s="62" t="inlineStr">
        <is>
          <t>41k</t>
        </is>
      </c>
      <c r="G14" s="63" t="n"/>
      <c r="H14" s="62" t="inlineStr">
        <is>
          <t>Untested</t>
        </is>
      </c>
      <c r="I14" s="64">
        <f>IFERROR((COUNTIF(K14:BY14,"✅")+0.5*COUNTIF(K14:BY14,"⚠️"))/(COUNTIF(K14:BY14,"✅")+COUNTIF(K14:BY14,"⚠️")+COUNTIF(K14:BY14,"❌")),"")</f>
        <v/>
      </c>
      <c r="J14" s="63">
        <f>COUNTIF(K14:BY14,"✅")+COUNTIF(K14:BY14,"⚠️")+COUNTIF(K14:BY14,"❌")+COUNTIF(K14:BY14,"➖")</f>
        <v/>
      </c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5" t="n"/>
      <c r="AI14" s="65" t="n"/>
      <c r="AJ14" s="65" t="n"/>
      <c r="AK14" s="65" t="n"/>
      <c r="AL14" s="65" t="n"/>
      <c r="AM14" s="65" t="n"/>
      <c r="AN14" s="65" t="n"/>
      <c r="AO14" s="65" t="n"/>
      <c r="AP14" s="65" t="n"/>
      <c r="AQ14" s="65" t="n"/>
      <c r="AR14" s="65" t="n"/>
      <c r="AS14" s="65" t="n"/>
      <c r="AT14" s="65" t="n"/>
      <c r="AU14" s="65" t="n"/>
      <c r="AV14" s="65" t="n"/>
      <c r="AW14" s="65" t="n"/>
      <c r="AX14" s="65" t="n"/>
      <c r="AY14" s="65" t="n"/>
      <c r="AZ14" s="65" t="n"/>
      <c r="BA14" s="65" t="n"/>
      <c r="BB14" s="65" t="n"/>
      <c r="BC14" s="65" t="n"/>
      <c r="BD14" s="65" t="n"/>
      <c r="BE14" s="65" t="n"/>
      <c r="BF14" s="65" t="n"/>
      <c r="BG14" s="65" t="n"/>
      <c r="BH14" s="65" t="n"/>
      <c r="BI14" s="65" t="n"/>
      <c r="BJ14" s="65" t="n"/>
      <c r="BK14" s="65" t="n"/>
      <c r="BL14" s="65" t="n"/>
      <c r="BM14" s="65" t="n"/>
      <c r="BN14" s="65" t="n"/>
      <c r="BO14" s="65" t="n"/>
      <c r="BP14" s="65" t="n"/>
      <c r="BQ14" s="65" t="n"/>
      <c r="BR14" s="65" t="n"/>
      <c r="BS14" s="65" t="n"/>
      <c r="BT14" s="65" t="n"/>
      <c r="BU14" s="65" t="n"/>
      <c r="BV14" s="65" t="n"/>
      <c r="BW14" s="65" t="n"/>
      <c r="BX14" s="65" t="n"/>
      <c r="BY14" s="65" t="n"/>
      <c r="BZ14" s="66" t="n"/>
      <c r="CA14" s="66" t="n"/>
    </row>
    <row r="15" ht="18" customHeight="1">
      <c r="A15" s="61" t="inlineStr">
        <is>
          <t>Qwen/Qwen3-4B-Instruct-2507</t>
        </is>
      </c>
      <c r="B15" s="62" t="inlineStr">
        <is>
          <t>Qwen</t>
        </is>
      </c>
      <c r="C15" s="62" t="inlineStr">
        <is>
          <t>LM Studio (GGUF)</t>
        </is>
      </c>
      <c r="D15" s="62" t="inlineStr">
        <is>
          <t>Q4_K_M</t>
        </is>
      </c>
      <c r="E15" s="62" t="inlineStr">
        <is>
          <t>4.4B</t>
        </is>
      </c>
      <c r="F15" s="62" t="inlineStr">
        <is>
          <t>262k</t>
        </is>
      </c>
      <c r="G15" s="63" t="n"/>
      <c r="H15" s="62" t="inlineStr">
        <is>
          <t>Untested</t>
        </is>
      </c>
      <c r="I15" s="64">
        <f>IFERROR((COUNTIF(K15:BY15,"✅")+0.5*COUNTIF(K15:BY15,"⚠️"))/(COUNTIF(K15:BY15,"✅")+COUNTIF(K15:BY15,"⚠️")+COUNTIF(K15:BY15,"❌")),"")</f>
        <v/>
      </c>
      <c r="J15" s="63">
        <f>COUNTIF(K15:BY15,"✅")+COUNTIF(K15:BY15,"⚠️")+COUNTIF(K15:BY15,"❌")+COUNTIF(K15:BY15,"➖")</f>
        <v/>
      </c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6" t="n"/>
      <c r="CA15" s="66" t="n"/>
    </row>
    <row r="16" ht="18" customHeight="1">
      <c r="A16" s="61" t="inlineStr">
        <is>
          <t>Qwen/Qwen3-1.7B</t>
        </is>
      </c>
      <c r="B16" s="62" t="inlineStr">
        <is>
          <t>Qwen</t>
        </is>
      </c>
      <c r="C16" s="62" t="inlineStr">
        <is>
          <t>LM Studio (GGUF)</t>
        </is>
      </c>
      <c r="D16" s="62" t="inlineStr">
        <is>
          <t>Q4_K_M</t>
        </is>
      </c>
      <c r="E16" s="62" t="inlineStr">
        <is>
          <t>1.7B</t>
        </is>
      </c>
      <c r="F16" s="62" t="inlineStr">
        <is>
          <t>41k</t>
        </is>
      </c>
      <c r="G16" s="63" t="n"/>
      <c r="H16" s="62" t="inlineStr">
        <is>
          <t>Untested</t>
        </is>
      </c>
      <c r="I16" s="64">
        <f>IFERROR((COUNTIF(K16:BY16,"✅")+0.5*COUNTIF(K16:BY16,"⚠️"))/(COUNTIF(K16:BY16,"✅")+COUNTIF(K16:BY16,"⚠️")+COUNTIF(K16:BY16,"❌")),"")</f>
        <v/>
      </c>
      <c r="J16" s="63">
        <f>COUNTIF(K16:BY16,"✅")+COUNTIF(K16:BY16,"⚠️")+COUNTIF(K16:BY16,"❌")+COUNTIF(K16:BY16,"➖")</f>
        <v/>
      </c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  <c r="AO16" s="65" t="n"/>
      <c r="AP16" s="65" t="n"/>
      <c r="AQ16" s="65" t="n"/>
      <c r="AR16" s="65" t="n"/>
      <c r="AS16" s="65" t="n"/>
      <c r="AT16" s="65" t="n"/>
      <c r="AU16" s="65" t="n"/>
      <c r="AV16" s="65" t="n"/>
      <c r="AW16" s="65" t="n"/>
      <c r="AX16" s="65" t="n"/>
      <c r="AY16" s="65" t="n"/>
      <c r="AZ16" s="65" t="n"/>
      <c r="BA16" s="65" t="n"/>
      <c r="BB16" s="65" t="n"/>
      <c r="BC16" s="65" t="n"/>
      <c r="BD16" s="65" t="n"/>
      <c r="BE16" s="65" t="n"/>
      <c r="BF16" s="65" t="n"/>
      <c r="BG16" s="65" t="n"/>
      <c r="BH16" s="65" t="n"/>
      <c r="BI16" s="65" t="n"/>
      <c r="BJ16" s="65" t="n"/>
      <c r="BK16" s="65" t="n"/>
      <c r="BL16" s="65" t="n"/>
      <c r="BM16" s="65" t="n"/>
      <c r="BN16" s="65" t="n"/>
      <c r="BO16" s="65" t="n"/>
      <c r="BP16" s="65" t="n"/>
      <c r="BQ16" s="65" t="n"/>
      <c r="BR16" s="65" t="n"/>
      <c r="BS16" s="65" t="n"/>
      <c r="BT16" s="65" t="n"/>
      <c r="BU16" s="65" t="n"/>
      <c r="BV16" s="65" t="n"/>
      <c r="BW16" s="65" t="n"/>
      <c r="BX16" s="65" t="n"/>
      <c r="BY16" s="65" t="n"/>
      <c r="BZ16" s="66" t="n"/>
      <c r="CA16" s="66" t="n"/>
    </row>
    <row r="17" ht="18" customHeight="1">
      <c r="A17" s="61" t="inlineStr">
        <is>
          <t>Qwen/Qwen3-0.6B</t>
        </is>
      </c>
      <c r="B17" s="62" t="inlineStr">
        <is>
          <t>Qwen</t>
        </is>
      </c>
      <c r="C17" s="62" t="inlineStr">
        <is>
          <t>LM Studio (GGUF)</t>
        </is>
      </c>
      <c r="D17" s="62" t="inlineStr">
        <is>
          <t>Q4_K_M</t>
        </is>
      </c>
      <c r="E17" s="62" t="inlineStr">
        <is>
          <t>752M</t>
        </is>
      </c>
      <c r="F17" s="62" t="inlineStr">
        <is>
          <t>41k</t>
        </is>
      </c>
      <c r="G17" s="63" t="n"/>
      <c r="H17" s="62" t="inlineStr">
        <is>
          <t>Untested</t>
        </is>
      </c>
      <c r="I17" s="64">
        <f>IFERROR((COUNTIF(K17:BY17,"✅")+0.5*COUNTIF(K17:BY17,"⚠️"))/(COUNTIF(K17:BY17,"✅")+COUNTIF(K17:BY17,"⚠️")+COUNTIF(K17:BY17,"❌")),"")</f>
        <v/>
      </c>
      <c r="J17" s="63">
        <f>COUNTIF(K17:BY17,"✅")+COUNTIF(K17:BY17,"⚠️")+COUNTIF(K17:BY17,"❌")+COUNTIF(K17:BY17,"➖")</f>
        <v/>
      </c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5" t="n"/>
      <c r="AI17" s="65" t="n"/>
      <c r="AJ17" s="65" t="n"/>
      <c r="AK17" s="65" t="n"/>
      <c r="AL17" s="65" t="n"/>
      <c r="AM17" s="65" t="n"/>
      <c r="AN17" s="65" t="n"/>
      <c r="AO17" s="65" t="n"/>
      <c r="AP17" s="65" t="n"/>
      <c r="AQ17" s="65" t="n"/>
      <c r="AR17" s="65" t="n"/>
      <c r="AS17" s="65" t="n"/>
      <c r="AT17" s="65" t="n"/>
      <c r="AU17" s="65" t="n"/>
      <c r="AV17" s="65" t="n"/>
      <c r="AW17" s="65" t="n"/>
      <c r="AX17" s="65" t="n"/>
      <c r="AY17" s="65" t="n"/>
      <c r="AZ17" s="65" t="n"/>
      <c r="BA17" s="65" t="n"/>
      <c r="BB17" s="65" t="n"/>
      <c r="BC17" s="65" t="n"/>
      <c r="BD17" s="65" t="n"/>
      <c r="BE17" s="65" t="n"/>
      <c r="BF17" s="65" t="n"/>
      <c r="BG17" s="65" t="n"/>
      <c r="BH17" s="65" t="n"/>
      <c r="BI17" s="65" t="n"/>
      <c r="BJ17" s="65" t="n"/>
      <c r="BK17" s="65" t="n"/>
      <c r="BL17" s="65" t="n"/>
      <c r="BM17" s="65" t="n"/>
      <c r="BN17" s="65" t="n"/>
      <c r="BO17" s="65" t="n"/>
      <c r="BP17" s="65" t="n"/>
      <c r="BQ17" s="65" t="n"/>
      <c r="BR17" s="65" t="n"/>
      <c r="BS17" s="65" t="n"/>
      <c r="BT17" s="65" t="n"/>
      <c r="BU17" s="65" t="n"/>
      <c r="BV17" s="65" t="n"/>
      <c r="BW17" s="65" t="n"/>
      <c r="BX17" s="65" t="n"/>
      <c r="BY17" s="65" t="n"/>
      <c r="BZ17" s="66" t="n"/>
      <c r="CA17" s="66" t="n"/>
    </row>
    <row r="18" ht="18" customHeight="1">
      <c r="A18" s="61" t="inlineStr">
        <is>
          <t>Qwen/Qwen2.5-Coder-32B-Instruct</t>
        </is>
      </c>
      <c r="B18" s="62" t="inlineStr">
        <is>
          <t>Qwen</t>
        </is>
      </c>
      <c r="C18" s="62" t="inlineStr">
        <is>
          <t>LM Studio (GGUF)</t>
        </is>
      </c>
      <c r="D18" s="62" t="inlineStr">
        <is>
          <t>Q4_K_M</t>
        </is>
      </c>
      <c r="E18" s="62" t="inlineStr">
        <is>
          <t>32.8B</t>
        </is>
      </c>
      <c r="F18" s="62" t="inlineStr">
        <is>
          <t>33k</t>
        </is>
      </c>
      <c r="G18" s="63" t="n"/>
      <c r="H18" s="62" t="inlineStr">
        <is>
          <t>Untested</t>
        </is>
      </c>
      <c r="I18" s="64">
        <f>IFERROR((COUNTIF(K18:BY18,"✅")+0.5*COUNTIF(K18:BY18,"⚠️"))/(COUNTIF(K18:BY18,"✅")+COUNTIF(K18:BY18,"⚠️")+COUNTIF(K18:BY18,"❌")),"")</f>
        <v/>
      </c>
      <c r="J18" s="63">
        <f>COUNTIF(K18:BY18,"✅")+COUNTIF(K18:BY18,"⚠️")+COUNTIF(K18:BY18,"❌")+COUNTIF(K18:BY18,"➖")</f>
        <v/>
      </c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5" t="n"/>
      <c r="AG18" s="65" t="n"/>
      <c r="AH18" s="65" t="n"/>
      <c r="AI18" s="65" t="n"/>
      <c r="AJ18" s="65" t="n"/>
      <c r="AK18" s="65" t="n"/>
      <c r="AL18" s="65" t="n"/>
      <c r="AM18" s="65" t="n"/>
      <c r="AN18" s="65" t="n"/>
      <c r="AO18" s="65" t="n"/>
      <c r="AP18" s="65" t="n"/>
      <c r="AQ18" s="65" t="n"/>
      <c r="AR18" s="65" t="n"/>
      <c r="AS18" s="65" t="n"/>
      <c r="AT18" s="65" t="n"/>
      <c r="AU18" s="65" t="n"/>
      <c r="AV18" s="65" t="n"/>
      <c r="AW18" s="65" t="n"/>
      <c r="AX18" s="65" t="n"/>
      <c r="AY18" s="65" t="n"/>
      <c r="AZ18" s="65" t="n"/>
      <c r="BA18" s="65" t="n"/>
      <c r="BB18" s="65" t="n"/>
      <c r="BC18" s="65" t="n"/>
      <c r="BD18" s="65" t="n"/>
      <c r="BE18" s="65" t="n"/>
      <c r="BF18" s="65" t="n"/>
      <c r="BG18" s="65" t="n"/>
      <c r="BH18" s="65" t="n"/>
      <c r="BI18" s="65" t="n"/>
      <c r="BJ18" s="65" t="n"/>
      <c r="BK18" s="65" t="n"/>
      <c r="BL18" s="65" t="n"/>
      <c r="BM18" s="65" t="n"/>
      <c r="BN18" s="65" t="n"/>
      <c r="BO18" s="65" t="n"/>
      <c r="BP18" s="65" t="n"/>
      <c r="BQ18" s="65" t="n"/>
      <c r="BR18" s="65" t="n"/>
      <c r="BS18" s="65" t="n"/>
      <c r="BT18" s="65" t="n"/>
      <c r="BU18" s="65" t="n"/>
      <c r="BV18" s="65" t="n"/>
      <c r="BW18" s="65" t="n"/>
      <c r="BX18" s="65" t="n"/>
      <c r="BY18" s="65" t="n"/>
      <c r="BZ18" s="66" t="n"/>
      <c r="CA18" s="66" t="n"/>
    </row>
    <row r="19" ht="18" customHeight="1">
      <c r="A19" s="61" t="inlineStr">
        <is>
          <t>Qwen/Qwen2.5-Coder-14B-Instruct</t>
        </is>
      </c>
      <c r="B19" s="62" t="inlineStr">
        <is>
          <t>Qwen</t>
        </is>
      </c>
      <c r="C19" s="62" t="inlineStr">
        <is>
          <t>LM Studio (GGUF)</t>
        </is>
      </c>
      <c r="D19" s="62" t="inlineStr">
        <is>
          <t>Q4_K_M</t>
        </is>
      </c>
      <c r="E19" s="62" t="inlineStr">
        <is>
          <t>14.8B</t>
        </is>
      </c>
      <c r="F19" s="62" t="inlineStr">
        <is>
          <t>33k</t>
        </is>
      </c>
      <c r="G19" s="63" t="n"/>
      <c r="H19" s="62" t="inlineStr">
        <is>
          <t>Untested</t>
        </is>
      </c>
      <c r="I19" s="64">
        <f>IFERROR((COUNTIF(K19:BY19,"✅")+0.5*COUNTIF(K19:BY19,"⚠️"))/(COUNTIF(K19:BY19,"✅")+COUNTIF(K19:BY19,"⚠️")+COUNTIF(K19:BY19,"❌")),"")</f>
        <v/>
      </c>
      <c r="J19" s="63">
        <f>COUNTIF(K19:BY19,"✅")+COUNTIF(K19:BY19,"⚠️")+COUNTIF(K19:BY19,"❌")+COUNTIF(K19:BY19,"➖")</f>
        <v/>
      </c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  <c r="AP19" s="65" t="n"/>
      <c r="AQ19" s="65" t="n"/>
      <c r="AR19" s="65" t="n"/>
      <c r="AS19" s="65" t="n"/>
      <c r="AT19" s="65" t="n"/>
      <c r="AU19" s="65" t="n"/>
      <c r="AV19" s="65" t="n"/>
      <c r="AW19" s="65" t="n"/>
      <c r="AX19" s="65" t="n"/>
      <c r="AY19" s="65" t="n"/>
      <c r="AZ19" s="65" t="n"/>
      <c r="BA19" s="65" t="n"/>
      <c r="BB19" s="65" t="n"/>
      <c r="BC19" s="65" t="n"/>
      <c r="BD19" s="65" t="n"/>
      <c r="BE19" s="65" t="n"/>
      <c r="BF19" s="65" t="n"/>
      <c r="BG19" s="65" t="n"/>
      <c r="BH19" s="65" t="n"/>
      <c r="BI19" s="65" t="n"/>
      <c r="BJ19" s="65" t="n"/>
      <c r="BK19" s="65" t="n"/>
      <c r="BL19" s="65" t="n"/>
      <c r="BM19" s="65" t="n"/>
      <c r="BN19" s="65" t="n"/>
      <c r="BO19" s="65" t="n"/>
      <c r="BP19" s="65" t="n"/>
      <c r="BQ19" s="65" t="n"/>
      <c r="BR19" s="65" t="n"/>
      <c r="BS19" s="65" t="n"/>
      <c r="BT19" s="65" t="n"/>
      <c r="BU19" s="65" t="n"/>
      <c r="BV19" s="65" t="n"/>
      <c r="BW19" s="65" t="n"/>
      <c r="BX19" s="65" t="n"/>
      <c r="BY19" s="65" t="n"/>
      <c r="BZ19" s="66" t="n"/>
      <c r="CA19" s="66" t="n"/>
    </row>
    <row r="20" ht="18" customHeight="1">
      <c r="A20" s="61" t="inlineStr">
        <is>
          <t>Qwen/Qwen2.5-Coder-7B-Instruct</t>
        </is>
      </c>
      <c r="B20" s="62" t="inlineStr">
        <is>
          <t>Qwen</t>
        </is>
      </c>
      <c r="C20" s="62" t="inlineStr">
        <is>
          <t>LM Studio (GGUF)</t>
        </is>
      </c>
      <c r="D20" s="62" t="inlineStr">
        <is>
          <t>Q4_K_M</t>
        </is>
      </c>
      <c r="E20" s="62" t="inlineStr">
        <is>
          <t>7.6B</t>
        </is>
      </c>
      <c r="F20" s="62" t="inlineStr">
        <is>
          <t>33k</t>
        </is>
      </c>
      <c r="G20" s="63" t="n"/>
      <c r="H20" s="62" t="inlineStr">
        <is>
          <t>Untested</t>
        </is>
      </c>
      <c r="I20" s="64">
        <f>IFERROR((COUNTIF(K20:BY20,"✅")+0.5*COUNTIF(K20:BY20,"⚠️"))/(COUNTIF(K20:BY20,"✅")+COUNTIF(K20:BY20,"⚠️")+COUNTIF(K20:BY20,"❌")),"")</f>
        <v/>
      </c>
      <c r="J20" s="63">
        <f>COUNTIF(K20:BY20,"✅")+COUNTIF(K20:BY20,"⚠️")+COUNTIF(K20:BY20,"❌")+COUNTIF(K20:BY20,"➖")</f>
        <v/>
      </c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  <c r="AP20" s="65" t="n"/>
      <c r="AQ20" s="65" t="n"/>
      <c r="AR20" s="65" t="n"/>
      <c r="AS20" s="65" t="n"/>
      <c r="AT20" s="65" t="n"/>
      <c r="AU20" s="65" t="n"/>
      <c r="AV20" s="65" t="n"/>
      <c r="AW20" s="65" t="n"/>
      <c r="AX20" s="65" t="n"/>
      <c r="AY20" s="65" t="n"/>
      <c r="AZ20" s="65" t="n"/>
      <c r="BA20" s="65" t="n"/>
      <c r="BB20" s="65" t="n"/>
      <c r="BC20" s="65" t="n"/>
      <c r="BD20" s="65" t="n"/>
      <c r="BE20" s="65" t="n"/>
      <c r="BF20" s="65" t="n"/>
      <c r="BG20" s="65" t="n"/>
      <c r="BH20" s="65" t="n"/>
      <c r="BI20" s="65" t="n"/>
      <c r="BJ20" s="65" t="n"/>
      <c r="BK20" s="65" t="n"/>
      <c r="BL20" s="65" t="n"/>
      <c r="BM20" s="65" t="n"/>
      <c r="BN20" s="65" t="n"/>
      <c r="BO20" s="65" t="n"/>
      <c r="BP20" s="65" t="n"/>
      <c r="BQ20" s="65" t="n"/>
      <c r="BR20" s="65" t="n"/>
      <c r="BS20" s="65" t="n"/>
      <c r="BT20" s="65" t="n"/>
      <c r="BU20" s="65" t="n"/>
      <c r="BV20" s="65" t="n"/>
      <c r="BW20" s="65" t="n"/>
      <c r="BX20" s="65" t="n"/>
      <c r="BY20" s="65" t="n"/>
      <c r="BZ20" s="66" t="n"/>
      <c r="CA20" s="66" t="n"/>
    </row>
    <row r="21" ht="18" customHeight="1">
      <c r="A21" s="61" t="inlineStr">
        <is>
          <t>Qwen/Qwen2.5-72B-Instruct</t>
        </is>
      </c>
      <c r="B21" s="62" t="inlineStr">
        <is>
          <t>Qwen</t>
        </is>
      </c>
      <c r="C21" s="62" t="inlineStr">
        <is>
          <t>LM Studio (GGUF)</t>
        </is>
      </c>
      <c r="D21" s="62" t="inlineStr">
        <is>
          <t>Q4_K_M</t>
        </is>
      </c>
      <c r="E21" s="62" t="inlineStr">
        <is>
          <t>72.7B</t>
        </is>
      </c>
      <c r="F21" s="62" t="inlineStr">
        <is>
          <t>33k</t>
        </is>
      </c>
      <c r="G21" s="63" t="n"/>
      <c r="H21" s="62" t="inlineStr">
        <is>
          <t>Untested</t>
        </is>
      </c>
      <c r="I21" s="64">
        <f>IFERROR((COUNTIF(K21:BY21,"✅")+0.5*COUNTIF(K21:BY21,"⚠️"))/(COUNTIF(K21:BY21,"✅")+COUNTIF(K21:BY21,"⚠️")+COUNTIF(K21:BY21,"❌")),"")</f>
        <v/>
      </c>
      <c r="J21" s="63">
        <f>COUNTIF(K21:BY21,"✅")+COUNTIF(K21:BY21,"⚠️")+COUNTIF(K21:BY21,"❌")+COUNTIF(K21:BY21,"➖")</f>
        <v/>
      </c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  <c r="AP21" s="65" t="n"/>
      <c r="AQ21" s="65" t="n"/>
      <c r="AR21" s="65" t="n"/>
      <c r="AS21" s="65" t="n"/>
      <c r="AT21" s="65" t="n"/>
      <c r="AU21" s="65" t="n"/>
      <c r="AV21" s="65" t="n"/>
      <c r="AW21" s="65" t="n"/>
      <c r="AX21" s="65" t="n"/>
      <c r="AY21" s="65" t="n"/>
      <c r="AZ21" s="65" t="n"/>
      <c r="BA21" s="65" t="n"/>
      <c r="BB21" s="65" t="n"/>
      <c r="BC21" s="65" t="n"/>
      <c r="BD21" s="65" t="n"/>
      <c r="BE21" s="65" t="n"/>
      <c r="BF21" s="65" t="n"/>
      <c r="BG21" s="65" t="n"/>
      <c r="BH21" s="65" t="n"/>
      <c r="BI21" s="65" t="n"/>
      <c r="BJ21" s="65" t="n"/>
      <c r="BK21" s="65" t="n"/>
      <c r="BL21" s="65" t="n"/>
      <c r="BM21" s="65" t="n"/>
      <c r="BN21" s="65" t="n"/>
      <c r="BO21" s="65" t="n"/>
      <c r="BP21" s="65" t="n"/>
      <c r="BQ21" s="65" t="n"/>
      <c r="BR21" s="65" t="n"/>
      <c r="BS21" s="65" t="n"/>
      <c r="BT21" s="65" t="n"/>
      <c r="BU21" s="65" t="n"/>
      <c r="BV21" s="65" t="n"/>
      <c r="BW21" s="65" t="n"/>
      <c r="BX21" s="65" t="n"/>
      <c r="BY21" s="65" t="n"/>
      <c r="BZ21" s="66" t="n"/>
      <c r="CA21" s="66" t="n"/>
    </row>
    <row r="22" ht="18" customHeight="1">
      <c r="A22" s="61" t="inlineStr">
        <is>
          <t>Qwen/Qwen2.5-32B-Instruct</t>
        </is>
      </c>
      <c r="B22" s="62" t="inlineStr">
        <is>
          <t>Qwen</t>
        </is>
      </c>
      <c r="C22" s="62" t="inlineStr">
        <is>
          <t>LM Studio (GGUF)</t>
        </is>
      </c>
      <c r="D22" s="62" t="inlineStr">
        <is>
          <t>Q4_K_M</t>
        </is>
      </c>
      <c r="E22" s="62" t="inlineStr">
        <is>
          <t>32.8B</t>
        </is>
      </c>
      <c r="F22" s="62" t="inlineStr">
        <is>
          <t>33k</t>
        </is>
      </c>
      <c r="G22" s="63" t="n"/>
      <c r="H22" s="62" t="inlineStr">
        <is>
          <t>Untested</t>
        </is>
      </c>
      <c r="I22" s="64">
        <f>IFERROR((COUNTIF(K22:BY22,"✅")+0.5*COUNTIF(K22:BY22,"⚠️"))/(COUNTIF(K22:BY22,"✅")+COUNTIF(K22:BY22,"⚠️")+COUNTIF(K22:BY22,"❌")),"")</f>
        <v/>
      </c>
      <c r="J22" s="63">
        <f>COUNTIF(K22:BY22,"✅")+COUNTIF(K22:BY22,"⚠️")+COUNTIF(K22:BY22,"❌")+COUNTIF(K22:BY22,"➖")</f>
        <v/>
      </c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65" t="n"/>
      <c r="AO22" s="65" t="n"/>
      <c r="AP22" s="65" t="n"/>
      <c r="AQ22" s="65" t="n"/>
      <c r="AR22" s="65" t="n"/>
      <c r="AS22" s="65" t="n"/>
      <c r="AT22" s="65" t="n"/>
      <c r="AU22" s="65" t="n"/>
      <c r="AV22" s="65" t="n"/>
      <c r="AW22" s="65" t="n"/>
      <c r="AX22" s="65" t="n"/>
      <c r="AY22" s="65" t="n"/>
      <c r="AZ22" s="65" t="n"/>
      <c r="BA22" s="65" t="n"/>
      <c r="BB22" s="65" t="n"/>
      <c r="BC22" s="65" t="n"/>
      <c r="BD22" s="65" t="n"/>
      <c r="BE22" s="65" t="n"/>
      <c r="BF22" s="65" t="n"/>
      <c r="BG22" s="65" t="n"/>
      <c r="BH22" s="65" t="n"/>
      <c r="BI22" s="65" t="n"/>
      <c r="BJ22" s="65" t="n"/>
      <c r="BK22" s="65" t="n"/>
      <c r="BL22" s="65" t="n"/>
      <c r="BM22" s="65" t="n"/>
      <c r="BN22" s="65" t="n"/>
      <c r="BO22" s="65" t="n"/>
      <c r="BP22" s="65" t="n"/>
      <c r="BQ22" s="65" t="n"/>
      <c r="BR22" s="65" t="n"/>
      <c r="BS22" s="65" t="n"/>
      <c r="BT22" s="65" t="n"/>
      <c r="BU22" s="65" t="n"/>
      <c r="BV22" s="65" t="n"/>
      <c r="BW22" s="65" t="n"/>
      <c r="BX22" s="65" t="n"/>
      <c r="BY22" s="65" t="n"/>
      <c r="BZ22" s="66" t="n"/>
      <c r="CA22" s="66" t="n"/>
    </row>
    <row r="23" ht="18" customHeight="1">
      <c r="A23" s="61" t="inlineStr">
        <is>
          <t>Qwen/Qwen2.5-14B-Instruct</t>
        </is>
      </c>
      <c r="B23" s="62" t="inlineStr">
        <is>
          <t>Qwen</t>
        </is>
      </c>
      <c r="C23" s="62" t="inlineStr">
        <is>
          <t>LM Studio (GGUF)</t>
        </is>
      </c>
      <c r="D23" s="62" t="inlineStr">
        <is>
          <t>Q4_K_M</t>
        </is>
      </c>
      <c r="E23" s="62" t="inlineStr">
        <is>
          <t>14.8B</t>
        </is>
      </c>
      <c r="F23" s="62" t="inlineStr">
        <is>
          <t>33k</t>
        </is>
      </c>
      <c r="G23" s="63" t="n"/>
      <c r="H23" s="62" t="inlineStr">
        <is>
          <t>Untested</t>
        </is>
      </c>
      <c r="I23" s="64">
        <f>IFERROR((COUNTIF(K23:BY23,"✅")+0.5*COUNTIF(K23:BY23,"⚠️"))/(COUNTIF(K23:BY23,"✅")+COUNTIF(K23:BY23,"⚠️")+COUNTIF(K23:BY23,"❌")),"")</f>
        <v/>
      </c>
      <c r="J23" s="63">
        <f>COUNTIF(K23:BY23,"✅")+COUNTIF(K23:BY23,"⚠️")+COUNTIF(K23:BY23,"❌")+COUNTIF(K23:BY23,"➖")</f>
        <v/>
      </c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  <c r="BN23" s="65" t="n"/>
      <c r="BO23" s="65" t="n"/>
      <c r="BP23" s="65" t="n"/>
      <c r="BQ23" s="65" t="n"/>
      <c r="BR23" s="65" t="n"/>
      <c r="BS23" s="65" t="n"/>
      <c r="BT23" s="65" t="n"/>
      <c r="BU23" s="65" t="n"/>
      <c r="BV23" s="65" t="n"/>
      <c r="BW23" s="65" t="n"/>
      <c r="BX23" s="65" t="n"/>
      <c r="BY23" s="65" t="n"/>
      <c r="BZ23" s="66" t="n"/>
      <c r="CA23" s="66" t="n"/>
    </row>
    <row r="24" ht="18" customHeight="1">
      <c r="A24" s="61" t="inlineStr">
        <is>
          <t>Qwen/Qwen2.5-7B-Instruct</t>
        </is>
      </c>
      <c r="B24" s="62" t="inlineStr">
        <is>
          <t>Qwen</t>
        </is>
      </c>
      <c r="C24" s="62" t="inlineStr">
        <is>
          <t>LM Studio (GGUF)</t>
        </is>
      </c>
      <c r="D24" s="62" t="inlineStr">
        <is>
          <t>Q4_K_M</t>
        </is>
      </c>
      <c r="E24" s="62" t="inlineStr">
        <is>
          <t>7.6B</t>
        </is>
      </c>
      <c r="F24" s="62" t="inlineStr">
        <is>
          <t>33k</t>
        </is>
      </c>
      <c r="G24" s="63" t="n"/>
      <c r="H24" s="62" t="inlineStr">
        <is>
          <t>Untested</t>
        </is>
      </c>
      <c r="I24" s="64">
        <f>IFERROR((COUNTIF(K24:BY24,"✅")+0.5*COUNTIF(K24:BY24,"⚠️"))/(COUNTIF(K24:BY24,"✅")+COUNTIF(K24:BY24,"⚠️")+COUNTIF(K24:BY24,"❌")),"")</f>
        <v/>
      </c>
      <c r="J24" s="63">
        <f>COUNTIF(K24:BY24,"✅")+COUNTIF(K24:BY24,"⚠️")+COUNTIF(K24:BY24,"❌")+COUNTIF(K24:BY24,"➖")</f>
        <v/>
      </c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65" t="n"/>
      <c r="AO24" s="65" t="n"/>
      <c r="AP24" s="65" t="n"/>
      <c r="AQ24" s="65" t="n"/>
      <c r="AR24" s="65" t="n"/>
      <c r="AS24" s="65" t="n"/>
      <c r="AT24" s="65" t="n"/>
      <c r="AU24" s="65" t="n"/>
      <c r="AV24" s="65" t="n"/>
      <c r="AW24" s="65" t="n"/>
      <c r="AX24" s="65" t="n"/>
      <c r="AY24" s="65" t="n"/>
      <c r="AZ24" s="65" t="n"/>
      <c r="BA24" s="65" t="n"/>
      <c r="BB24" s="65" t="n"/>
      <c r="BC24" s="65" t="n"/>
      <c r="BD24" s="65" t="n"/>
      <c r="BE24" s="65" t="n"/>
      <c r="BF24" s="65" t="n"/>
      <c r="BG24" s="65" t="n"/>
      <c r="BH24" s="65" t="n"/>
      <c r="BI24" s="65" t="n"/>
      <c r="BJ24" s="65" t="n"/>
      <c r="BK24" s="65" t="n"/>
      <c r="BL24" s="65" t="n"/>
      <c r="BM24" s="65" t="n"/>
      <c r="BN24" s="65" t="n"/>
      <c r="BO24" s="65" t="n"/>
      <c r="BP24" s="65" t="n"/>
      <c r="BQ24" s="65" t="n"/>
      <c r="BR24" s="65" t="n"/>
      <c r="BS24" s="65" t="n"/>
      <c r="BT24" s="65" t="n"/>
      <c r="BU24" s="65" t="n"/>
      <c r="BV24" s="65" t="n"/>
      <c r="BW24" s="65" t="n"/>
      <c r="BX24" s="65" t="n"/>
      <c r="BY24" s="65" t="n"/>
      <c r="BZ24" s="66" t="n"/>
      <c r="CA24" s="66" t="n"/>
    </row>
    <row r="25" ht="18" customHeight="1">
      <c r="A25" s="61" t="inlineStr">
        <is>
          <t>openai/gpt-oss-120b</t>
        </is>
      </c>
      <c r="B25" s="62" t="inlineStr">
        <is>
          <t>OpenAI</t>
        </is>
      </c>
      <c r="C25" s="62" t="inlineStr">
        <is>
          <t>LM Studio (GGUF)</t>
        </is>
      </c>
      <c r="D25" s="62" t="inlineStr">
        <is>
          <t>MXFP4</t>
        </is>
      </c>
      <c r="E25" s="62" t="inlineStr">
        <is>
          <t>117B</t>
        </is>
      </c>
      <c r="F25" s="62" t="inlineStr">
        <is>
          <t>131k</t>
        </is>
      </c>
      <c r="G25" s="63" t="n"/>
      <c r="H25" s="62" t="inlineStr">
        <is>
          <t>Untested</t>
        </is>
      </c>
      <c r="I25" s="64">
        <f>IFERROR((COUNTIF(K25:BY25,"✅")+0.5*COUNTIF(K25:BY25,"⚠️"))/(COUNTIF(K25:BY25,"✅")+COUNTIF(K25:BY25,"⚠️")+COUNTIF(K25:BY25,"❌")),"")</f>
        <v/>
      </c>
      <c r="J25" s="63">
        <f>COUNTIF(K25:BY25,"✅")+COUNTIF(K25:BY25,"⚠️")+COUNTIF(K25:BY25,"❌")+COUNTIF(K25:BY25,"➖")</f>
        <v/>
      </c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/>
      <c r="AJ25" s="65" t="n"/>
      <c r="AK25" s="65" t="n"/>
      <c r="AL25" s="65" t="n"/>
      <c r="AM25" s="65" t="n"/>
      <c r="AN25" s="65" t="n"/>
      <c r="AO25" s="65" t="n"/>
      <c r="AP25" s="65" t="n"/>
      <c r="AQ25" s="65" t="n"/>
      <c r="AR25" s="65" t="n"/>
      <c r="AS25" s="65" t="n"/>
      <c r="AT25" s="65" t="n"/>
      <c r="AU25" s="65" t="n"/>
      <c r="AV25" s="65" t="n"/>
      <c r="AW25" s="65" t="n"/>
      <c r="AX25" s="65" t="n"/>
      <c r="AY25" s="65" t="n"/>
      <c r="AZ25" s="65" t="n"/>
      <c r="BA25" s="65" t="n"/>
      <c r="BB25" s="65" t="n"/>
      <c r="BC25" s="65" t="n"/>
      <c r="BD25" s="65" t="n"/>
      <c r="BE25" s="65" t="n"/>
      <c r="BF25" s="65" t="n"/>
      <c r="BG25" s="65" t="n"/>
      <c r="BH25" s="65" t="n"/>
      <c r="BI25" s="65" t="n"/>
      <c r="BJ25" s="65" t="n"/>
      <c r="BK25" s="65" t="n"/>
      <c r="BL25" s="65" t="n"/>
      <c r="BM25" s="65" t="n"/>
      <c r="BN25" s="65" t="n"/>
      <c r="BO25" s="65" t="n"/>
      <c r="BP25" s="65" t="n"/>
      <c r="BQ25" s="65" t="n"/>
      <c r="BR25" s="65" t="n"/>
      <c r="BS25" s="65" t="n"/>
      <c r="BT25" s="65" t="n"/>
      <c r="BU25" s="65" t="n"/>
      <c r="BV25" s="65" t="n"/>
      <c r="BW25" s="65" t="n"/>
      <c r="BX25" s="65" t="n"/>
      <c r="BY25" s="65" t="n"/>
      <c r="BZ25" s="66" t="n"/>
      <c r="CA25" s="66" t="n"/>
    </row>
    <row r="26" ht="18" customHeight="1">
      <c r="A26" s="61" t="inlineStr">
        <is>
          <t>openai/gpt-oss-20b</t>
        </is>
      </c>
      <c r="B26" s="62" t="inlineStr">
        <is>
          <t>OpenAI</t>
        </is>
      </c>
      <c r="C26" s="62" t="inlineStr">
        <is>
          <t>LM Studio (GGUF)</t>
        </is>
      </c>
      <c r="D26" s="62" t="inlineStr">
        <is>
          <t>MXFP4</t>
        </is>
      </c>
      <c r="E26" s="62" t="inlineStr">
        <is>
          <t>21B</t>
        </is>
      </c>
      <c r="F26" s="62" t="inlineStr">
        <is>
          <t>131k</t>
        </is>
      </c>
      <c r="G26" s="63" t="n"/>
      <c r="H26" s="62" t="inlineStr">
        <is>
          <t>Untested</t>
        </is>
      </c>
      <c r="I26" s="64">
        <f>IFERROR((COUNTIF(K26:BY26,"✅")+0.5*COUNTIF(K26:BY26,"⚠️"))/(COUNTIF(K26:BY26,"✅")+COUNTIF(K26:BY26,"⚠️")+COUNTIF(K26:BY26,"❌")),"")</f>
        <v/>
      </c>
      <c r="J26" s="63">
        <f>COUNTIF(K26:BY26,"✅")+COUNTIF(K26:BY26,"⚠️")+COUNTIF(K26:BY26,"❌")+COUNTIF(K26:BY26,"➖")</f>
        <v/>
      </c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  <c r="AO26" s="65" t="n"/>
      <c r="AP26" s="65" t="n"/>
      <c r="AQ26" s="65" t="n"/>
      <c r="AR26" s="65" t="n"/>
      <c r="AS26" s="65" t="n"/>
      <c r="AT26" s="6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65" t="n"/>
      <c r="BI26" s="65" t="n"/>
      <c r="BJ26" s="65" t="n"/>
      <c r="BK26" s="65" t="n"/>
      <c r="BL26" s="65" t="n"/>
      <c r="BM26" s="65" t="n"/>
      <c r="BN26" s="65" t="n"/>
      <c r="BO26" s="65" t="n"/>
      <c r="BP26" s="65" t="n"/>
      <c r="BQ26" s="65" t="n"/>
      <c r="BR26" s="65" t="n"/>
      <c r="BS26" s="65" t="n"/>
      <c r="BT26" s="65" t="n"/>
      <c r="BU26" s="65" t="n"/>
      <c r="BV26" s="65" t="n"/>
      <c r="BW26" s="65" t="n"/>
      <c r="BX26" s="65" t="n"/>
      <c r="BY26" s="65" t="n"/>
      <c r="BZ26" s="66" t="n"/>
      <c r="CA26" s="66" t="n"/>
    </row>
    <row r="27" ht="18" customHeight="1">
      <c r="A27" s="61" t="inlineStr">
        <is>
          <t>lmstudio-community/gpt-oss-120b-MLX</t>
        </is>
      </c>
      <c r="B27" s="62" t="inlineStr">
        <is>
          <t>OpenAI</t>
        </is>
      </c>
      <c r="C27" s="62" t="inlineStr">
        <is>
          <t>LM Studio (MLX)</t>
        </is>
      </c>
      <c r="D27" s="62" t="inlineStr">
        <is>
          <t>MLX-8bit</t>
        </is>
      </c>
      <c r="E27" s="62" t="inlineStr">
        <is>
          <t>117B</t>
        </is>
      </c>
      <c r="F27" s="62" t="inlineStr">
        <is>
          <t>131k</t>
        </is>
      </c>
      <c r="G27" s="63" t="n"/>
      <c r="H27" s="62" t="inlineStr">
        <is>
          <t>Untested</t>
        </is>
      </c>
      <c r="I27" s="64">
        <f>IFERROR((COUNTIF(K27:BY27,"✅")+0.5*COUNTIF(K27:BY27,"⚠️"))/(COUNTIF(K27:BY27,"✅")+COUNTIF(K27:BY27,"⚠️")+COUNTIF(K27:BY27,"❌")),"")</f>
        <v/>
      </c>
      <c r="J27" s="63">
        <f>COUNTIF(K27:BY27,"✅")+COUNTIF(K27:BY27,"⚠️")+COUNTIF(K27:BY27,"❌")+COUNTIF(K27:BY27,"➖")</f>
        <v/>
      </c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65" t="n"/>
      <c r="AO27" s="65" t="n"/>
      <c r="AP27" s="65" t="n"/>
      <c r="AQ27" s="65" t="n"/>
      <c r="AR27" s="65" t="n"/>
      <c r="AS27" s="65" t="n"/>
      <c r="AT27" s="65" t="n"/>
      <c r="AU27" s="65" t="n"/>
      <c r="AV27" s="65" t="n"/>
      <c r="AW27" s="65" t="n"/>
      <c r="AX27" s="65" t="n"/>
      <c r="AY27" s="65" t="n"/>
      <c r="AZ27" s="65" t="n"/>
      <c r="BA27" s="65" t="n"/>
      <c r="BB27" s="65" t="n"/>
      <c r="BC27" s="65" t="n"/>
      <c r="BD27" s="65" t="n"/>
      <c r="BE27" s="65" t="n"/>
      <c r="BF27" s="65" t="n"/>
      <c r="BG27" s="65" t="n"/>
      <c r="BH27" s="65" t="n"/>
      <c r="BI27" s="65" t="n"/>
      <c r="BJ27" s="65" t="n"/>
      <c r="BK27" s="65" t="n"/>
      <c r="BL27" s="65" t="n"/>
      <c r="BM27" s="65" t="n"/>
      <c r="BN27" s="65" t="n"/>
      <c r="BO27" s="65" t="n"/>
      <c r="BP27" s="65" t="n"/>
      <c r="BQ27" s="65" t="n"/>
      <c r="BR27" s="65" t="n"/>
      <c r="BS27" s="65" t="n"/>
      <c r="BT27" s="65" t="n"/>
      <c r="BU27" s="65" t="n"/>
      <c r="BV27" s="65" t="n"/>
      <c r="BW27" s="65" t="n"/>
      <c r="BX27" s="65" t="n"/>
      <c r="BY27" s="65" t="n"/>
      <c r="BZ27" s="66" t="n"/>
      <c r="CA27" s="66" t="n"/>
    </row>
    <row r="28" ht="18" customHeight="1">
      <c r="A28" s="61" t="inlineStr">
        <is>
          <t>zai-org/GLM-4.7-Flash</t>
        </is>
      </c>
      <c r="B28" s="62" t="inlineStr">
        <is>
          <t>Z.ai</t>
        </is>
      </c>
      <c r="C28" s="62" t="inlineStr">
        <is>
          <t>LM Studio (GGUF)</t>
        </is>
      </c>
      <c r="D28" s="62" t="inlineStr">
        <is>
          <t>Q4_K_M</t>
        </is>
      </c>
      <c r="E28" s="62" t="inlineStr">
        <is>
          <t>31.2B</t>
        </is>
      </c>
      <c r="F28" s="62" t="inlineStr">
        <is>
          <t>203k</t>
        </is>
      </c>
      <c r="G28" s="63" t="n"/>
      <c r="H28" s="62" t="inlineStr">
        <is>
          <t>Untested</t>
        </is>
      </c>
      <c r="I28" s="64">
        <f>IFERROR((COUNTIF(K28:BY28,"✅")+0.5*COUNTIF(K28:BY28,"⚠️"))/(COUNTIF(K28:BY28,"✅")+COUNTIF(K28:BY28,"⚠️")+COUNTIF(K28:BY28,"❌")),"")</f>
        <v/>
      </c>
      <c r="J28" s="63">
        <f>COUNTIF(K28:BY28,"✅")+COUNTIF(K28:BY28,"⚠️")+COUNTIF(K28:BY28,"❌")+COUNTIF(K28:BY28,"➖")</f>
        <v/>
      </c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/>
      <c r="AJ28" s="65" t="n"/>
      <c r="AK28" s="65" t="n"/>
      <c r="AL28" s="65" t="n"/>
      <c r="AM28" s="65" t="n"/>
      <c r="AN28" s="65" t="n"/>
      <c r="AO28" s="65" t="n"/>
      <c r="AP28" s="65" t="n"/>
      <c r="AQ28" s="65" t="n"/>
      <c r="AR28" s="65" t="n"/>
      <c r="AS28" s="65" t="n"/>
      <c r="AT28" s="65" t="n"/>
      <c r="AU28" s="65" t="n"/>
      <c r="AV28" s="65" t="n"/>
      <c r="AW28" s="65" t="n"/>
      <c r="AX28" s="65" t="n"/>
      <c r="AY28" s="65" t="n"/>
      <c r="AZ28" s="65" t="n"/>
      <c r="BA28" s="65" t="n"/>
      <c r="BB28" s="65" t="n"/>
      <c r="BC28" s="65" t="n"/>
      <c r="BD28" s="65" t="n"/>
      <c r="BE28" s="65" t="n"/>
      <c r="BF28" s="65" t="n"/>
      <c r="BG28" s="65" t="n"/>
      <c r="BH28" s="65" t="n"/>
      <c r="BI28" s="65" t="n"/>
      <c r="BJ28" s="65" t="n"/>
      <c r="BK28" s="65" t="n"/>
      <c r="BL28" s="65" t="n"/>
      <c r="BM28" s="65" t="n"/>
      <c r="BN28" s="65" t="n"/>
      <c r="BO28" s="65" t="n"/>
      <c r="BP28" s="65" t="n"/>
      <c r="BQ28" s="65" t="n"/>
      <c r="BR28" s="65" t="n"/>
      <c r="BS28" s="65" t="n"/>
      <c r="BT28" s="65" t="n"/>
      <c r="BU28" s="65" t="n"/>
      <c r="BV28" s="65" t="n"/>
      <c r="BW28" s="65" t="n"/>
      <c r="BX28" s="65" t="n"/>
      <c r="BY28" s="65" t="n"/>
      <c r="BZ28" s="66" t="n"/>
      <c r="CA28" s="66" t="n"/>
    </row>
    <row r="29" ht="18" customHeight="1">
      <c r="A29" s="61" t="inlineStr">
        <is>
          <t>lmstudio-community/GLM-4.7-Flash-MLX</t>
        </is>
      </c>
      <c r="B29" s="62" t="inlineStr">
        <is>
          <t>Z.ai</t>
        </is>
      </c>
      <c r="C29" s="62" t="inlineStr">
        <is>
          <t>LM Studio (MLX)</t>
        </is>
      </c>
      <c r="D29" s="62" t="inlineStr">
        <is>
          <t>MLX-6bit</t>
        </is>
      </c>
      <c r="E29" s="62" t="inlineStr">
        <is>
          <t>29.9B</t>
        </is>
      </c>
      <c r="F29" s="62" t="inlineStr">
        <is>
          <t>203k</t>
        </is>
      </c>
      <c r="G29" s="63" t="n"/>
      <c r="H29" s="62" t="inlineStr">
        <is>
          <t>Untested</t>
        </is>
      </c>
      <c r="I29" s="64">
        <f>IFERROR((COUNTIF(K29:BY29,"✅")+0.5*COUNTIF(K29:BY29,"⚠️"))/(COUNTIF(K29:BY29,"✅")+COUNTIF(K29:BY29,"⚠️")+COUNTIF(K29:BY29,"❌")),"")</f>
        <v/>
      </c>
      <c r="J29" s="63">
        <f>COUNTIF(K29:BY29,"✅")+COUNTIF(K29:BY29,"⚠️")+COUNTIF(K29:BY29,"❌")+COUNTIF(K29:BY29,"➖")</f>
        <v/>
      </c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/>
      <c r="AJ29" s="65" t="n"/>
      <c r="AK29" s="65" t="n"/>
      <c r="AL29" s="65" t="n"/>
      <c r="AM29" s="65" t="n"/>
      <c r="AN29" s="65" t="n"/>
      <c r="AO29" s="65" t="n"/>
      <c r="AP29" s="65" t="n"/>
      <c r="AQ29" s="65" t="n"/>
      <c r="AR29" s="65" t="n"/>
      <c r="AS29" s="65" t="n"/>
      <c r="AT29" s="65" t="n"/>
      <c r="AU29" s="65" t="n"/>
      <c r="AV29" s="65" t="n"/>
      <c r="AW29" s="65" t="n"/>
      <c r="AX29" s="65" t="n"/>
      <c r="AY29" s="65" t="n"/>
      <c r="AZ29" s="65" t="n"/>
      <c r="BA29" s="65" t="n"/>
      <c r="BB29" s="65" t="n"/>
      <c r="BC29" s="65" t="n"/>
      <c r="BD29" s="65" t="n"/>
      <c r="BE29" s="65" t="n"/>
      <c r="BF29" s="65" t="n"/>
      <c r="BG29" s="65" t="n"/>
      <c r="BH29" s="65" t="n"/>
      <c r="BI29" s="65" t="n"/>
      <c r="BJ29" s="65" t="n"/>
      <c r="BK29" s="65" t="n"/>
      <c r="BL29" s="65" t="n"/>
      <c r="BM29" s="65" t="n"/>
      <c r="BN29" s="65" t="n"/>
      <c r="BO29" s="65" t="n"/>
      <c r="BP29" s="65" t="n"/>
      <c r="BQ29" s="65" t="n"/>
      <c r="BR29" s="65" t="n"/>
      <c r="BS29" s="65" t="n"/>
      <c r="BT29" s="65" t="n"/>
      <c r="BU29" s="65" t="n"/>
      <c r="BV29" s="65" t="n"/>
      <c r="BW29" s="65" t="n"/>
      <c r="BX29" s="65" t="n"/>
      <c r="BY29" s="65" t="n"/>
      <c r="BZ29" s="66" t="n"/>
      <c r="CA29" s="66" t="n"/>
    </row>
    <row r="30" ht="18" customHeight="1">
      <c r="A30" s="61" t="inlineStr">
        <is>
          <t>zai-org/GLM-4.5-Air</t>
        </is>
      </c>
      <c r="B30" s="62" t="inlineStr">
        <is>
          <t>Z.ai</t>
        </is>
      </c>
      <c r="C30" s="62" t="inlineStr">
        <is>
          <t>LM Studio (GGUF)</t>
        </is>
      </c>
      <c r="D30" s="62" t="inlineStr">
        <is>
          <t>Q4_K_M</t>
        </is>
      </c>
      <c r="E30" s="62" t="inlineStr">
        <is>
          <t>106B</t>
        </is>
      </c>
      <c r="F30" s="62" t="inlineStr">
        <is>
          <t>131k</t>
        </is>
      </c>
      <c r="G30" s="63" t="n"/>
      <c r="H30" s="62" t="inlineStr">
        <is>
          <t>Untested</t>
        </is>
      </c>
      <c r="I30" s="64">
        <f>IFERROR((COUNTIF(K30:BY30,"✅")+0.5*COUNTIF(K30:BY30,"⚠️"))/(COUNTIF(K30:BY30,"✅")+COUNTIF(K30:BY30,"⚠️")+COUNTIF(K30:BY30,"❌")),"")</f>
        <v/>
      </c>
      <c r="J30" s="63">
        <f>COUNTIF(K30:BY30,"✅")+COUNTIF(K30:BY30,"⚠️")+COUNTIF(K30:BY30,"❌")+COUNTIF(K30:BY30,"➖")</f>
        <v/>
      </c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65" t="n"/>
      <c r="AO30" s="65" t="n"/>
      <c r="AP30" s="65" t="n"/>
      <c r="AQ30" s="65" t="n"/>
      <c r="AR30" s="65" t="n"/>
      <c r="AS30" s="65" t="n"/>
      <c r="AT30" s="65" t="n"/>
      <c r="AU30" s="65" t="n"/>
      <c r="AV30" s="65" t="n"/>
      <c r="AW30" s="65" t="n"/>
      <c r="AX30" s="65" t="n"/>
      <c r="AY30" s="65" t="n"/>
      <c r="AZ30" s="65" t="n"/>
      <c r="BA30" s="65" t="n"/>
      <c r="BB30" s="65" t="n"/>
      <c r="BC30" s="65" t="n"/>
      <c r="BD30" s="65" t="n"/>
      <c r="BE30" s="65" t="n"/>
      <c r="BF30" s="65" t="n"/>
      <c r="BG30" s="65" t="n"/>
      <c r="BH30" s="65" t="n"/>
      <c r="BI30" s="65" t="n"/>
      <c r="BJ30" s="65" t="n"/>
      <c r="BK30" s="65" t="n"/>
      <c r="BL30" s="65" t="n"/>
      <c r="BM30" s="65" t="n"/>
      <c r="BN30" s="65" t="n"/>
      <c r="BO30" s="65" t="n"/>
      <c r="BP30" s="65" t="n"/>
      <c r="BQ30" s="65" t="n"/>
      <c r="BR30" s="65" t="n"/>
      <c r="BS30" s="65" t="n"/>
      <c r="BT30" s="65" t="n"/>
      <c r="BU30" s="65" t="n"/>
      <c r="BV30" s="65" t="n"/>
      <c r="BW30" s="65" t="n"/>
      <c r="BX30" s="65" t="n"/>
      <c r="BY30" s="65" t="n"/>
      <c r="BZ30" s="66" t="n"/>
      <c r="CA30" s="66" t="n"/>
    </row>
    <row r="31" ht="18" customHeight="1">
      <c r="A31" s="61" t="inlineStr">
        <is>
          <t>google/gemma-3-27b-it</t>
        </is>
      </c>
      <c r="B31" s="62" t="inlineStr">
        <is>
          <t>Google</t>
        </is>
      </c>
      <c r="C31" s="62" t="inlineStr">
        <is>
          <t>LM Studio (GGUF)</t>
        </is>
      </c>
      <c r="D31" s="62" t="inlineStr">
        <is>
          <t>Q4_K_M</t>
        </is>
      </c>
      <c r="E31" s="62" t="inlineStr">
        <is>
          <t>27.4B</t>
        </is>
      </c>
      <c r="F31" s="62" t="inlineStr">
        <is>
          <t>128k</t>
        </is>
      </c>
      <c r="G31" s="63" t="n"/>
      <c r="H31" s="62" t="inlineStr">
        <is>
          <t>Untested</t>
        </is>
      </c>
      <c r="I31" s="64">
        <f>IFERROR((COUNTIF(K31:BY31,"✅")+0.5*COUNTIF(K31:BY31,"⚠️"))/(COUNTIF(K31:BY31,"✅")+COUNTIF(K31:BY31,"⚠️")+COUNTIF(K31:BY31,"❌")),"")</f>
        <v/>
      </c>
      <c r="J31" s="63">
        <f>COUNTIF(K31:BY31,"✅")+COUNTIF(K31:BY31,"⚠️")+COUNTIF(K31:BY31,"❌")+COUNTIF(K31:BY31,"➖")</f>
        <v/>
      </c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  <c r="BN31" s="65" t="n"/>
      <c r="BO31" s="65" t="n"/>
      <c r="BP31" s="65" t="n"/>
      <c r="BQ31" s="65" t="n"/>
      <c r="BR31" s="65" t="n"/>
      <c r="BS31" s="65" t="n"/>
      <c r="BT31" s="65" t="n"/>
      <c r="BU31" s="65" t="n"/>
      <c r="BV31" s="65" t="n"/>
      <c r="BW31" s="65" t="n"/>
      <c r="BX31" s="65" t="n"/>
      <c r="BY31" s="65" t="n"/>
      <c r="BZ31" s="66" t="n"/>
      <c r="CA31" s="66" t="n"/>
    </row>
    <row r="32" ht="18" customHeight="1">
      <c r="A32" s="61" t="inlineStr">
        <is>
          <t>google/gemma-3-12b-it</t>
        </is>
      </c>
      <c r="B32" s="62" t="inlineStr">
        <is>
          <t>Google</t>
        </is>
      </c>
      <c r="C32" s="62" t="inlineStr">
        <is>
          <t>LM Studio (GGUF)</t>
        </is>
      </c>
      <c r="D32" s="62" t="inlineStr">
        <is>
          <t>Q4_K_M</t>
        </is>
      </c>
      <c r="E32" s="62" t="inlineStr">
        <is>
          <t>12B</t>
        </is>
      </c>
      <c r="F32" s="62" t="inlineStr">
        <is>
          <t>131k</t>
        </is>
      </c>
      <c r="G32" s="63" t="n"/>
      <c r="H32" s="62" t="inlineStr">
        <is>
          <t>Untested</t>
        </is>
      </c>
      <c r="I32" s="64">
        <f>IFERROR((COUNTIF(K32:BY32,"✅")+0.5*COUNTIF(K32:BY32,"⚠️"))/(COUNTIF(K32:BY32,"✅")+COUNTIF(K32:BY32,"⚠️")+COUNTIF(K32:BY32,"❌")),"")</f>
        <v/>
      </c>
      <c r="J32" s="63">
        <f>COUNTIF(K32:BY32,"✅")+COUNTIF(K32:BY32,"⚠️")+COUNTIF(K32:BY32,"❌")+COUNTIF(K32:BY32,"➖")</f>
        <v/>
      </c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/>
      <c r="AG32" s="65" t="n"/>
      <c r="AH32" s="65" t="n"/>
      <c r="AI32" s="65" t="n"/>
      <c r="AJ32" s="65" t="n"/>
      <c r="AK32" s="65" t="n"/>
      <c r="AL32" s="65" t="n"/>
      <c r="AM32" s="65" t="n"/>
      <c r="AN32" s="65" t="n"/>
      <c r="AO32" s="65" t="n"/>
      <c r="AP32" s="65" t="n"/>
      <c r="AQ32" s="65" t="n"/>
      <c r="AR32" s="65" t="n"/>
      <c r="AS32" s="65" t="n"/>
      <c r="AT32" s="65" t="n"/>
      <c r="AU32" s="65" t="n"/>
      <c r="AV32" s="65" t="n"/>
      <c r="AW32" s="65" t="n"/>
      <c r="AX32" s="65" t="n"/>
      <c r="AY32" s="65" t="n"/>
      <c r="AZ32" s="65" t="n"/>
      <c r="BA32" s="65" t="n"/>
      <c r="BB32" s="65" t="n"/>
      <c r="BC32" s="65" t="n"/>
      <c r="BD32" s="65" t="n"/>
      <c r="BE32" s="65" t="n"/>
      <c r="BF32" s="65" t="n"/>
      <c r="BG32" s="65" t="n"/>
      <c r="BH32" s="65" t="n"/>
      <c r="BI32" s="65" t="n"/>
      <c r="BJ32" s="65" t="n"/>
      <c r="BK32" s="65" t="n"/>
      <c r="BL32" s="65" t="n"/>
      <c r="BM32" s="65" t="n"/>
      <c r="BN32" s="65" t="n"/>
      <c r="BO32" s="65" t="n"/>
      <c r="BP32" s="65" t="n"/>
      <c r="BQ32" s="65" t="n"/>
      <c r="BR32" s="65" t="n"/>
      <c r="BS32" s="65" t="n"/>
      <c r="BT32" s="65" t="n"/>
      <c r="BU32" s="65" t="n"/>
      <c r="BV32" s="65" t="n"/>
      <c r="BW32" s="65" t="n"/>
      <c r="BX32" s="65" t="n"/>
      <c r="BY32" s="65" t="n"/>
      <c r="BZ32" s="66" t="n"/>
      <c r="CA32" s="66" t="n"/>
    </row>
    <row r="33" ht="18" customHeight="1">
      <c r="A33" s="61" t="inlineStr">
        <is>
          <t>google/gemma-3-4b-it</t>
        </is>
      </c>
      <c r="B33" s="62" t="inlineStr">
        <is>
          <t>Google</t>
        </is>
      </c>
      <c r="C33" s="62" t="inlineStr">
        <is>
          <t>LM Studio (GGUF)</t>
        </is>
      </c>
      <c r="D33" s="62" t="inlineStr">
        <is>
          <t>Q4_K_M</t>
        </is>
      </c>
      <c r="E33" s="62" t="inlineStr">
        <is>
          <t>4B</t>
        </is>
      </c>
      <c r="F33" s="62" t="inlineStr">
        <is>
          <t>131k</t>
        </is>
      </c>
      <c r="G33" s="63" t="n"/>
      <c r="H33" s="62" t="inlineStr">
        <is>
          <t>Untested</t>
        </is>
      </c>
      <c r="I33" s="64">
        <f>IFERROR((COUNTIF(K33:BY33,"✅")+0.5*COUNTIF(K33:BY33,"⚠️"))/(COUNTIF(K33:BY33,"✅")+COUNTIF(K33:BY33,"⚠️")+COUNTIF(K33:BY33,"❌")),"")</f>
        <v/>
      </c>
      <c r="J33" s="63">
        <f>COUNTIF(K33:BY33,"✅")+COUNTIF(K33:BY33,"⚠️")+COUNTIF(K33:BY33,"❌")+COUNTIF(K33:BY33,"➖")</f>
        <v/>
      </c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  <c r="AA33" s="65" t="n"/>
      <c r="AB33" s="65" t="n"/>
      <c r="AC33" s="65" t="n"/>
      <c r="AD33" s="65" t="n"/>
      <c r="AE33" s="65" t="n"/>
      <c r="AF33" s="65" t="n"/>
      <c r="AG33" s="65" t="n"/>
      <c r="AH33" s="65" t="n"/>
      <c r="AI33" s="65" t="n"/>
      <c r="AJ33" s="65" t="n"/>
      <c r="AK33" s="65" t="n"/>
      <c r="AL33" s="65" t="n"/>
      <c r="AM33" s="65" t="n"/>
      <c r="AN33" s="65" t="n"/>
      <c r="AO33" s="65" t="n"/>
      <c r="AP33" s="65" t="n"/>
      <c r="AQ33" s="65" t="n"/>
      <c r="AR33" s="65" t="n"/>
      <c r="AS33" s="65" t="n"/>
      <c r="AT33" s="65" t="n"/>
      <c r="AU33" s="65" t="n"/>
      <c r="AV33" s="65" t="n"/>
      <c r="AW33" s="65" t="n"/>
      <c r="AX33" s="65" t="n"/>
      <c r="AY33" s="65" t="n"/>
      <c r="AZ33" s="65" t="n"/>
      <c r="BA33" s="65" t="n"/>
      <c r="BB33" s="65" t="n"/>
      <c r="BC33" s="65" t="n"/>
      <c r="BD33" s="65" t="n"/>
      <c r="BE33" s="65" t="n"/>
      <c r="BF33" s="65" t="n"/>
      <c r="BG33" s="65" t="n"/>
      <c r="BH33" s="65" t="n"/>
      <c r="BI33" s="65" t="n"/>
      <c r="BJ33" s="65" t="n"/>
      <c r="BK33" s="65" t="n"/>
      <c r="BL33" s="65" t="n"/>
      <c r="BM33" s="65" t="n"/>
      <c r="BN33" s="65" t="n"/>
      <c r="BO33" s="65" t="n"/>
      <c r="BP33" s="65" t="n"/>
      <c r="BQ33" s="65" t="n"/>
      <c r="BR33" s="65" t="n"/>
      <c r="BS33" s="65" t="n"/>
      <c r="BT33" s="65" t="n"/>
      <c r="BU33" s="65" t="n"/>
      <c r="BV33" s="65" t="n"/>
      <c r="BW33" s="65" t="n"/>
      <c r="BX33" s="65" t="n"/>
      <c r="BY33" s="65" t="n"/>
      <c r="BZ33" s="66" t="n"/>
      <c r="CA33" s="66" t="n"/>
    </row>
    <row r="34" ht="18" customHeight="1">
      <c r="A34" s="61" t="inlineStr">
        <is>
          <t>google/gemma-3n-E4B-it</t>
        </is>
      </c>
      <c r="B34" s="62" t="inlineStr">
        <is>
          <t>Google</t>
        </is>
      </c>
      <c r="C34" s="62" t="inlineStr">
        <is>
          <t>LM Studio (GGUF)</t>
        </is>
      </c>
      <c r="D34" s="62" t="inlineStr">
        <is>
          <t>Q4_K_M</t>
        </is>
      </c>
      <c r="E34" s="62" t="inlineStr">
        <is>
          <t>8B</t>
        </is>
      </c>
      <c r="F34" s="62" t="inlineStr">
        <is>
          <t>131k</t>
        </is>
      </c>
      <c r="G34" s="63" t="n"/>
      <c r="H34" s="62" t="inlineStr">
        <is>
          <t>Untested</t>
        </is>
      </c>
      <c r="I34" s="64">
        <f>IFERROR((COUNTIF(K34:BY34,"✅")+0.5*COUNTIF(K34:BY34,"⚠️"))/(COUNTIF(K34:BY34,"✅")+COUNTIF(K34:BY34,"⚠️")+COUNTIF(K34:BY34,"❌")),"")</f>
        <v/>
      </c>
      <c r="J34" s="63">
        <f>COUNTIF(K34:BY34,"✅")+COUNTIF(K34:BY34,"⚠️")+COUNTIF(K34:BY34,"❌")+COUNTIF(K34:BY34,"➖")</f>
        <v/>
      </c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  <c r="AA34" s="65" t="n"/>
      <c r="AB34" s="65" t="n"/>
      <c r="AC34" s="65" t="n"/>
      <c r="AD34" s="65" t="n"/>
      <c r="AE34" s="65" t="n"/>
      <c r="AF34" s="65" t="n"/>
      <c r="AG34" s="65" t="n"/>
      <c r="AH34" s="65" t="n"/>
      <c r="AI34" s="65" t="n"/>
      <c r="AJ34" s="65" t="n"/>
      <c r="AK34" s="65" t="n"/>
      <c r="AL34" s="65" t="n"/>
      <c r="AM34" s="65" t="n"/>
      <c r="AN34" s="65" t="n"/>
      <c r="AO34" s="65" t="n"/>
      <c r="AP34" s="65" t="n"/>
      <c r="AQ34" s="65" t="n"/>
      <c r="AR34" s="65" t="n"/>
      <c r="AS34" s="65" t="n"/>
      <c r="AT34" s="65" t="n"/>
      <c r="AU34" s="65" t="n"/>
      <c r="AV34" s="65" t="n"/>
      <c r="AW34" s="65" t="n"/>
      <c r="AX34" s="65" t="n"/>
      <c r="AY34" s="65" t="n"/>
      <c r="AZ34" s="65" t="n"/>
      <c r="BA34" s="65" t="n"/>
      <c r="BB34" s="65" t="n"/>
      <c r="BC34" s="65" t="n"/>
      <c r="BD34" s="65" t="n"/>
      <c r="BE34" s="65" t="n"/>
      <c r="BF34" s="65" t="n"/>
      <c r="BG34" s="65" t="n"/>
      <c r="BH34" s="65" t="n"/>
      <c r="BI34" s="65" t="n"/>
      <c r="BJ34" s="65" t="n"/>
      <c r="BK34" s="65" t="n"/>
      <c r="BL34" s="65" t="n"/>
      <c r="BM34" s="65" t="n"/>
      <c r="BN34" s="65" t="n"/>
      <c r="BO34" s="65" t="n"/>
      <c r="BP34" s="65" t="n"/>
      <c r="BQ34" s="65" t="n"/>
      <c r="BR34" s="65" t="n"/>
      <c r="BS34" s="65" t="n"/>
      <c r="BT34" s="65" t="n"/>
      <c r="BU34" s="65" t="n"/>
      <c r="BV34" s="65" t="n"/>
      <c r="BW34" s="65" t="n"/>
      <c r="BX34" s="65" t="n"/>
      <c r="BY34" s="65" t="n"/>
      <c r="BZ34" s="66" t="n"/>
      <c r="CA34" s="66" t="n"/>
    </row>
    <row r="35" ht="18" customHeight="1">
      <c r="A35" s="61" t="inlineStr">
        <is>
          <t>meta-llama/Llama-3.3-70B-Instruct</t>
        </is>
      </c>
      <c r="B35" s="62" t="inlineStr">
        <is>
          <t>Meta</t>
        </is>
      </c>
      <c r="C35" s="62" t="inlineStr">
        <is>
          <t>LM Studio (GGUF)</t>
        </is>
      </c>
      <c r="D35" s="62" t="inlineStr">
        <is>
          <t>Q4_K_M</t>
        </is>
      </c>
      <c r="E35" s="62" t="inlineStr">
        <is>
          <t>70.6B</t>
        </is>
      </c>
      <c r="F35" s="62" t="inlineStr">
        <is>
          <t>131k</t>
        </is>
      </c>
      <c r="G35" s="63" t="n"/>
      <c r="H35" s="62" t="inlineStr">
        <is>
          <t>Untested</t>
        </is>
      </c>
      <c r="I35" s="64">
        <f>IFERROR((COUNTIF(K35:BY35,"✅")+0.5*COUNTIF(K35:BY35,"⚠️"))/(COUNTIF(K35:BY35,"✅")+COUNTIF(K35:BY35,"⚠️")+COUNTIF(K35:BY35,"❌")),"")</f>
        <v/>
      </c>
      <c r="J35" s="63">
        <f>COUNTIF(K35:BY35,"✅")+COUNTIF(K35:BY35,"⚠️")+COUNTIF(K35:BY35,"❌")+COUNTIF(K35:BY35,"➖")</f>
        <v/>
      </c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5" t="n"/>
      <c r="AG35" s="65" t="n"/>
      <c r="AH35" s="65" t="n"/>
      <c r="AI35" s="65" t="n"/>
      <c r="AJ35" s="65" t="n"/>
      <c r="AK35" s="65" t="n"/>
      <c r="AL35" s="65" t="n"/>
      <c r="AM35" s="65" t="n"/>
      <c r="AN35" s="65" t="n"/>
      <c r="AO35" s="65" t="n"/>
      <c r="AP35" s="65" t="n"/>
      <c r="AQ35" s="65" t="n"/>
      <c r="AR35" s="65" t="n"/>
      <c r="AS35" s="65" t="n"/>
      <c r="AT35" s="65" t="n"/>
      <c r="AU35" s="65" t="n"/>
      <c r="AV35" s="65" t="n"/>
      <c r="AW35" s="65" t="n"/>
      <c r="AX35" s="65" t="n"/>
      <c r="AY35" s="65" t="n"/>
      <c r="AZ35" s="65" t="n"/>
      <c r="BA35" s="65" t="n"/>
      <c r="BB35" s="65" t="n"/>
      <c r="BC35" s="65" t="n"/>
      <c r="BD35" s="65" t="n"/>
      <c r="BE35" s="65" t="n"/>
      <c r="BF35" s="65" t="n"/>
      <c r="BG35" s="65" t="n"/>
      <c r="BH35" s="65" t="n"/>
      <c r="BI35" s="65" t="n"/>
      <c r="BJ35" s="65" t="n"/>
      <c r="BK35" s="65" t="n"/>
      <c r="BL35" s="65" t="n"/>
      <c r="BM35" s="65" t="n"/>
      <c r="BN35" s="65" t="n"/>
      <c r="BO35" s="65" t="n"/>
      <c r="BP35" s="65" t="n"/>
      <c r="BQ35" s="65" t="n"/>
      <c r="BR35" s="65" t="n"/>
      <c r="BS35" s="65" t="n"/>
      <c r="BT35" s="65" t="n"/>
      <c r="BU35" s="65" t="n"/>
      <c r="BV35" s="65" t="n"/>
      <c r="BW35" s="65" t="n"/>
      <c r="BX35" s="65" t="n"/>
      <c r="BY35" s="65" t="n"/>
      <c r="BZ35" s="66" t="n"/>
      <c r="CA35" s="66" t="n"/>
    </row>
    <row r="36" ht="18" customHeight="1">
      <c r="A36" s="61" t="inlineStr">
        <is>
          <t>meta-llama/Llama-3.1-8B-Instruct</t>
        </is>
      </c>
      <c r="B36" s="62" t="inlineStr">
        <is>
          <t>Meta</t>
        </is>
      </c>
      <c r="C36" s="62" t="inlineStr">
        <is>
          <t>LM Studio (GGUF)</t>
        </is>
      </c>
      <c r="D36" s="62" t="inlineStr">
        <is>
          <t>Q4_K_M</t>
        </is>
      </c>
      <c r="E36" s="62" t="inlineStr">
        <is>
          <t>8B</t>
        </is>
      </c>
      <c r="F36" s="62" t="inlineStr">
        <is>
          <t>131k</t>
        </is>
      </c>
      <c r="G36" s="63" t="n"/>
      <c r="H36" s="62" t="inlineStr">
        <is>
          <t>Untested</t>
        </is>
      </c>
      <c r="I36" s="64">
        <f>IFERROR((COUNTIF(K36:BY36,"✅")+0.5*COUNTIF(K36:BY36,"⚠️"))/(COUNTIF(K36:BY36,"✅")+COUNTIF(K36:BY36,"⚠️")+COUNTIF(K36:BY36,"❌")),"")</f>
        <v/>
      </c>
      <c r="J36" s="63">
        <f>COUNTIF(K36:BY36,"✅")+COUNTIF(K36:BY36,"⚠️")+COUNTIF(K36:BY36,"❌")+COUNTIF(K36:BY36,"➖")</f>
        <v/>
      </c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  <c r="BN36" s="65" t="n"/>
      <c r="BO36" s="65" t="n"/>
      <c r="BP36" s="65" t="n"/>
      <c r="BQ36" s="65" t="n"/>
      <c r="BR36" s="65" t="n"/>
      <c r="BS36" s="65" t="n"/>
      <c r="BT36" s="65" t="n"/>
      <c r="BU36" s="65" t="n"/>
      <c r="BV36" s="65" t="n"/>
      <c r="BW36" s="65" t="n"/>
      <c r="BX36" s="65" t="n"/>
      <c r="BY36" s="65" t="n"/>
      <c r="BZ36" s="66" t="n"/>
      <c r="CA36" s="66" t="n"/>
    </row>
    <row r="37" ht="18" customHeight="1">
      <c r="A37" s="61" t="inlineStr">
        <is>
          <t>meta-llama/Llama-3.2-3B-Instruct</t>
        </is>
      </c>
      <c r="B37" s="62" t="inlineStr">
        <is>
          <t>Meta</t>
        </is>
      </c>
      <c r="C37" s="62" t="inlineStr">
        <is>
          <t>LM Studio (GGUF)</t>
        </is>
      </c>
      <c r="D37" s="62" t="inlineStr">
        <is>
          <t>Q4_K_M</t>
        </is>
      </c>
      <c r="E37" s="62" t="inlineStr">
        <is>
          <t>3.2B</t>
        </is>
      </c>
      <c r="F37" s="62" t="inlineStr">
        <is>
          <t>131k</t>
        </is>
      </c>
      <c r="G37" s="63" t="n"/>
      <c r="H37" s="62" t="inlineStr">
        <is>
          <t>Untested</t>
        </is>
      </c>
      <c r="I37" s="64">
        <f>IFERROR((COUNTIF(K37:BY37,"✅")+0.5*COUNTIF(K37:BY37,"⚠️"))/(COUNTIF(K37:BY37,"✅")+COUNTIF(K37:BY37,"⚠️")+COUNTIF(K37:BY37,"❌")),"")</f>
        <v/>
      </c>
      <c r="J37" s="63">
        <f>COUNTIF(K37:BY37,"✅")+COUNTIF(K37:BY37,"⚠️")+COUNTIF(K37:BY37,"❌")+COUNTIF(K37:BY37,"➖")</f>
        <v/>
      </c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65" t="n"/>
      <c r="AH37" s="65" t="n"/>
      <c r="AI37" s="65" t="n"/>
      <c r="AJ37" s="65" t="n"/>
      <c r="AK37" s="65" t="n"/>
      <c r="AL37" s="65" t="n"/>
      <c r="AM37" s="65" t="n"/>
      <c r="AN37" s="65" t="n"/>
      <c r="AO37" s="65" t="n"/>
      <c r="AP37" s="65" t="n"/>
      <c r="AQ37" s="65" t="n"/>
      <c r="AR37" s="65" t="n"/>
      <c r="AS37" s="65" t="n"/>
      <c r="AT37" s="65" t="n"/>
      <c r="AU37" s="65" t="n"/>
      <c r="AV37" s="65" t="n"/>
      <c r="AW37" s="65" t="n"/>
      <c r="AX37" s="65" t="n"/>
      <c r="AY37" s="65" t="n"/>
      <c r="AZ37" s="65" t="n"/>
      <c r="BA37" s="65" t="n"/>
      <c r="BB37" s="65" t="n"/>
      <c r="BC37" s="65" t="n"/>
      <c r="BD37" s="65" t="n"/>
      <c r="BE37" s="65" t="n"/>
      <c r="BF37" s="65" t="n"/>
      <c r="BG37" s="65" t="n"/>
      <c r="BH37" s="65" t="n"/>
      <c r="BI37" s="65" t="n"/>
      <c r="BJ37" s="65" t="n"/>
      <c r="BK37" s="65" t="n"/>
      <c r="BL37" s="65" t="n"/>
      <c r="BM37" s="65" t="n"/>
      <c r="BN37" s="65" t="n"/>
      <c r="BO37" s="65" t="n"/>
      <c r="BP37" s="65" t="n"/>
      <c r="BQ37" s="65" t="n"/>
      <c r="BR37" s="65" t="n"/>
      <c r="BS37" s="65" t="n"/>
      <c r="BT37" s="65" t="n"/>
      <c r="BU37" s="65" t="n"/>
      <c r="BV37" s="65" t="n"/>
      <c r="BW37" s="65" t="n"/>
      <c r="BX37" s="65" t="n"/>
      <c r="BY37" s="65" t="n"/>
      <c r="BZ37" s="66" t="n"/>
      <c r="CA37" s="66" t="n"/>
    </row>
    <row r="38" ht="18" customHeight="1">
      <c r="A38" s="61" t="inlineStr">
        <is>
          <t>mistralai/Mistral-Small-24B-Instruct-2501</t>
        </is>
      </c>
      <c r="B38" s="62" t="inlineStr">
        <is>
          <t>Mistral</t>
        </is>
      </c>
      <c r="C38" s="62" t="inlineStr">
        <is>
          <t>LM Studio (GGUF)</t>
        </is>
      </c>
      <c r="D38" s="62" t="inlineStr">
        <is>
          <t>Q4_K_M</t>
        </is>
      </c>
      <c r="E38" s="62" t="inlineStr">
        <is>
          <t>24B</t>
        </is>
      </c>
      <c r="F38" s="62" t="inlineStr">
        <is>
          <t>33k</t>
        </is>
      </c>
      <c r="G38" s="63" t="n"/>
      <c r="H38" s="62" t="inlineStr">
        <is>
          <t>Untested</t>
        </is>
      </c>
      <c r="I38" s="64">
        <f>IFERROR((COUNTIF(K38:BY38,"✅")+0.5*COUNTIF(K38:BY38,"⚠️"))/(COUNTIF(K38:BY38,"✅")+COUNTIF(K38:BY38,"⚠️")+COUNTIF(K38:BY38,"❌")),"")</f>
        <v/>
      </c>
      <c r="J38" s="63">
        <f>COUNTIF(K38:BY38,"✅")+COUNTIF(K38:BY38,"⚠️")+COUNTIF(K38:BY38,"❌")+COUNTIF(K38:BY38,"➖")</f>
        <v/>
      </c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65" t="n"/>
      <c r="AG38" s="65" t="n"/>
      <c r="AH38" s="65" t="n"/>
      <c r="AI38" s="65" t="n"/>
      <c r="AJ38" s="65" t="n"/>
      <c r="AK38" s="65" t="n"/>
      <c r="AL38" s="65" t="n"/>
      <c r="AM38" s="65" t="n"/>
      <c r="AN38" s="65" t="n"/>
      <c r="AO38" s="65" t="n"/>
      <c r="AP38" s="65" t="n"/>
      <c r="AQ38" s="65" t="n"/>
      <c r="AR38" s="65" t="n"/>
      <c r="AS38" s="65" t="n"/>
      <c r="AT38" s="65" t="n"/>
      <c r="AU38" s="65" t="n"/>
      <c r="AV38" s="65" t="n"/>
      <c r="AW38" s="65" t="n"/>
      <c r="AX38" s="65" t="n"/>
      <c r="AY38" s="65" t="n"/>
      <c r="AZ38" s="65" t="n"/>
      <c r="BA38" s="65" t="n"/>
      <c r="BB38" s="65" t="n"/>
      <c r="BC38" s="65" t="n"/>
      <c r="BD38" s="65" t="n"/>
      <c r="BE38" s="65" t="n"/>
      <c r="BF38" s="65" t="n"/>
      <c r="BG38" s="65" t="n"/>
      <c r="BH38" s="65" t="n"/>
      <c r="BI38" s="65" t="n"/>
      <c r="BJ38" s="65" t="n"/>
      <c r="BK38" s="65" t="n"/>
      <c r="BL38" s="65" t="n"/>
      <c r="BM38" s="65" t="n"/>
      <c r="BN38" s="65" t="n"/>
      <c r="BO38" s="65" t="n"/>
      <c r="BP38" s="65" t="n"/>
      <c r="BQ38" s="65" t="n"/>
      <c r="BR38" s="65" t="n"/>
      <c r="BS38" s="65" t="n"/>
      <c r="BT38" s="65" t="n"/>
      <c r="BU38" s="65" t="n"/>
      <c r="BV38" s="65" t="n"/>
      <c r="BW38" s="65" t="n"/>
      <c r="BX38" s="65" t="n"/>
      <c r="BY38" s="65" t="n"/>
      <c r="BZ38" s="66" t="n"/>
      <c r="CA38" s="66" t="n"/>
    </row>
    <row r="39" ht="18" customHeight="1">
      <c r="A39" s="61" t="inlineStr">
        <is>
          <t>mistralai/Devstral-Small-2507</t>
        </is>
      </c>
      <c r="B39" s="62" t="inlineStr">
        <is>
          <t>Mistral</t>
        </is>
      </c>
      <c r="C39" s="62" t="inlineStr">
        <is>
          <t>LM Studio (GGUF)</t>
        </is>
      </c>
      <c r="D39" s="62" t="inlineStr">
        <is>
          <t>Q4_K_M</t>
        </is>
      </c>
      <c r="E39" s="62" t="inlineStr">
        <is>
          <t>23.6B</t>
        </is>
      </c>
      <c r="F39" s="62" t="inlineStr">
        <is>
          <t>131k</t>
        </is>
      </c>
      <c r="G39" s="63" t="n"/>
      <c r="H39" s="62" t="inlineStr">
        <is>
          <t>Untested</t>
        </is>
      </c>
      <c r="I39" s="64">
        <f>IFERROR((COUNTIF(K39:BY39,"✅")+0.5*COUNTIF(K39:BY39,"⚠️"))/(COUNTIF(K39:BY39,"✅")+COUNTIF(K39:BY39,"⚠️")+COUNTIF(K39:BY39,"❌")),"")</f>
        <v/>
      </c>
      <c r="J39" s="63">
        <f>COUNTIF(K39:BY39,"✅")+COUNTIF(K39:BY39,"⚠️")+COUNTIF(K39:BY39,"❌")+COUNTIF(K39:BY39,"➖")</f>
        <v/>
      </c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65" t="n"/>
      <c r="AG39" s="65" t="n"/>
      <c r="AH39" s="65" t="n"/>
      <c r="AI39" s="65" t="n"/>
      <c r="AJ39" s="65" t="n"/>
      <c r="AK39" s="65" t="n"/>
      <c r="AL39" s="65" t="n"/>
      <c r="AM39" s="65" t="n"/>
      <c r="AN39" s="65" t="n"/>
      <c r="AO39" s="65" t="n"/>
      <c r="AP39" s="65" t="n"/>
      <c r="AQ39" s="65" t="n"/>
      <c r="AR39" s="65" t="n"/>
      <c r="AS39" s="65" t="n"/>
      <c r="AT39" s="65" t="n"/>
      <c r="AU39" s="65" t="n"/>
      <c r="AV39" s="65" t="n"/>
      <c r="AW39" s="65" t="n"/>
      <c r="AX39" s="65" t="n"/>
      <c r="AY39" s="65" t="n"/>
      <c r="AZ39" s="65" t="n"/>
      <c r="BA39" s="65" t="n"/>
      <c r="BB39" s="65" t="n"/>
      <c r="BC39" s="65" t="n"/>
      <c r="BD39" s="65" t="n"/>
      <c r="BE39" s="65" t="n"/>
      <c r="BF39" s="65" t="n"/>
      <c r="BG39" s="65" t="n"/>
      <c r="BH39" s="65" t="n"/>
      <c r="BI39" s="65" t="n"/>
      <c r="BJ39" s="65" t="n"/>
      <c r="BK39" s="65" t="n"/>
      <c r="BL39" s="65" t="n"/>
      <c r="BM39" s="65" t="n"/>
      <c r="BN39" s="65" t="n"/>
      <c r="BO39" s="65" t="n"/>
      <c r="BP39" s="65" t="n"/>
      <c r="BQ39" s="65" t="n"/>
      <c r="BR39" s="65" t="n"/>
      <c r="BS39" s="65" t="n"/>
      <c r="BT39" s="65" t="n"/>
      <c r="BU39" s="65" t="n"/>
      <c r="BV39" s="65" t="n"/>
      <c r="BW39" s="65" t="n"/>
      <c r="BX39" s="65" t="n"/>
      <c r="BY39" s="65" t="n"/>
      <c r="BZ39" s="66" t="n"/>
      <c r="CA39" s="66" t="n"/>
    </row>
    <row r="40" ht="18" customHeight="1">
      <c r="A40" s="61" t="inlineStr">
        <is>
          <t>mistralai/Magistral-Small-2509</t>
        </is>
      </c>
      <c r="B40" s="62" t="inlineStr">
        <is>
          <t>Mistral</t>
        </is>
      </c>
      <c r="C40" s="62" t="inlineStr">
        <is>
          <t>LM Studio (GGUF)</t>
        </is>
      </c>
      <c r="D40" s="62" t="inlineStr">
        <is>
          <t>Q4_K_M</t>
        </is>
      </c>
      <c r="E40" s="62" t="inlineStr">
        <is>
          <t>23.6B</t>
        </is>
      </c>
      <c r="F40" s="62" t="inlineStr">
        <is>
          <t>131k</t>
        </is>
      </c>
      <c r="G40" s="63" t="n"/>
      <c r="H40" s="62" t="inlineStr">
        <is>
          <t>Untested</t>
        </is>
      </c>
      <c r="I40" s="64">
        <f>IFERROR((COUNTIF(K40:BY40,"✅")+0.5*COUNTIF(K40:BY40,"⚠️"))/(COUNTIF(K40:BY40,"✅")+COUNTIF(K40:BY40,"⚠️")+COUNTIF(K40:BY40,"❌")),"")</f>
        <v/>
      </c>
      <c r="J40" s="63">
        <f>COUNTIF(K40:BY40,"✅")+COUNTIF(K40:BY40,"⚠️")+COUNTIF(K40:BY40,"❌")+COUNTIF(K40:BY40,"➖")</f>
        <v/>
      </c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  <c r="BN40" s="65" t="n"/>
      <c r="BO40" s="65" t="n"/>
      <c r="BP40" s="65" t="n"/>
      <c r="BQ40" s="65" t="n"/>
      <c r="BR40" s="65" t="n"/>
      <c r="BS40" s="65" t="n"/>
      <c r="BT40" s="65" t="n"/>
      <c r="BU40" s="65" t="n"/>
      <c r="BV40" s="65" t="n"/>
      <c r="BW40" s="65" t="n"/>
      <c r="BX40" s="65" t="n"/>
      <c r="BY40" s="65" t="n"/>
      <c r="BZ40" s="66" t="n"/>
      <c r="CA40" s="66" t="n"/>
    </row>
    <row r="41" ht="18" customHeight="1">
      <c r="A41" s="61" t="inlineStr">
        <is>
          <t>mistralai/Mistral-Nemo-Instruct-2407</t>
        </is>
      </c>
      <c r="B41" s="62" t="inlineStr">
        <is>
          <t>Mistral</t>
        </is>
      </c>
      <c r="C41" s="62" t="inlineStr">
        <is>
          <t>LM Studio (GGUF)</t>
        </is>
      </c>
      <c r="D41" s="62" t="inlineStr">
        <is>
          <t>Q4_K_M</t>
        </is>
      </c>
      <c r="E41" s="62" t="inlineStr">
        <is>
          <t>12.2B</t>
        </is>
      </c>
      <c r="F41" s="62" t="inlineStr">
        <is>
          <t>131k</t>
        </is>
      </c>
      <c r="G41" s="63" t="n"/>
      <c r="H41" s="62" t="inlineStr">
        <is>
          <t>Untested</t>
        </is>
      </c>
      <c r="I41" s="64">
        <f>IFERROR((COUNTIF(K41:BY41,"✅")+0.5*COUNTIF(K41:BY41,"⚠️"))/(COUNTIF(K41:BY41,"✅")+COUNTIF(K41:BY41,"⚠️")+COUNTIF(K41:BY41,"❌")),"")</f>
        <v/>
      </c>
      <c r="J41" s="63">
        <f>COUNTIF(K41:BY41,"✅")+COUNTIF(K41:BY41,"⚠️")+COUNTIF(K41:BY41,"❌")+COUNTIF(K41:BY41,"➖")</f>
        <v/>
      </c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  <c r="AA41" s="65" t="n"/>
      <c r="AB41" s="65" t="n"/>
      <c r="AC41" s="65" t="n"/>
      <c r="AD41" s="65" t="n"/>
      <c r="AE41" s="65" t="n"/>
      <c r="AF41" s="65" t="n"/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 t="n"/>
      <c r="AW41" s="65" t="n"/>
      <c r="AX41" s="65" t="n"/>
      <c r="AY41" s="65" t="n"/>
      <c r="AZ41" s="65" t="n"/>
      <c r="BA41" s="65" t="n"/>
      <c r="BB41" s="65" t="n"/>
      <c r="BC41" s="65" t="n"/>
      <c r="BD41" s="65" t="n"/>
      <c r="BE41" s="65" t="n"/>
      <c r="BF41" s="65" t="n"/>
      <c r="BG41" s="65" t="n"/>
      <c r="BH41" s="65" t="n"/>
      <c r="BI41" s="65" t="n"/>
      <c r="BJ41" s="65" t="n"/>
      <c r="BK41" s="65" t="n"/>
      <c r="BL41" s="65" t="n"/>
      <c r="BM41" s="65" t="n"/>
      <c r="BN41" s="65" t="n"/>
      <c r="BO41" s="65" t="n"/>
      <c r="BP41" s="65" t="n"/>
      <c r="BQ41" s="65" t="n"/>
      <c r="BR41" s="65" t="n"/>
      <c r="BS41" s="65" t="n"/>
      <c r="BT41" s="65" t="n"/>
      <c r="BU41" s="65" t="n"/>
      <c r="BV41" s="65" t="n"/>
      <c r="BW41" s="65" t="n"/>
      <c r="BX41" s="65" t="n"/>
      <c r="BY41" s="65" t="n"/>
      <c r="BZ41" s="66" t="n"/>
      <c r="CA41" s="66" t="n"/>
    </row>
    <row r="42" ht="18" customHeight="1">
      <c r="A42" s="61" t="inlineStr">
        <is>
          <t>mistralai/Mistral-7B-Instruct-v0.3</t>
        </is>
      </c>
      <c r="B42" s="62" t="inlineStr">
        <is>
          <t>Mistral</t>
        </is>
      </c>
      <c r="C42" s="62" t="inlineStr">
        <is>
          <t>LM Studio (GGUF)</t>
        </is>
      </c>
      <c r="D42" s="62" t="inlineStr">
        <is>
          <t>Q4_K_M</t>
        </is>
      </c>
      <c r="E42" s="62" t="inlineStr">
        <is>
          <t>7.2B</t>
        </is>
      </c>
      <c r="F42" s="62" t="inlineStr">
        <is>
          <t>33k</t>
        </is>
      </c>
      <c r="G42" s="63" t="n"/>
      <c r="H42" s="62" t="inlineStr">
        <is>
          <t>Untested</t>
        </is>
      </c>
      <c r="I42" s="64">
        <f>IFERROR((COUNTIF(K42:BY42,"✅")+0.5*COUNTIF(K42:BY42,"⚠️"))/(COUNTIF(K42:BY42,"✅")+COUNTIF(K42:BY42,"⚠️")+COUNTIF(K42:BY42,"❌")),"")</f>
        <v/>
      </c>
      <c r="J42" s="63">
        <f>COUNTIF(K42:BY42,"✅")+COUNTIF(K42:BY42,"⚠️")+COUNTIF(K42:BY42,"❌")+COUNTIF(K42:BY42,"➖")</f>
        <v/>
      </c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  <c r="AA42" s="65" t="n"/>
      <c r="AB42" s="65" t="n"/>
      <c r="AC42" s="65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 t="n"/>
      <c r="AW42" s="65" t="n"/>
      <c r="AX42" s="65" t="n"/>
      <c r="AY42" s="65" t="n"/>
      <c r="AZ42" s="65" t="n"/>
      <c r="BA42" s="65" t="n"/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  <c r="BN42" s="65" t="n"/>
      <c r="BO42" s="65" t="n"/>
      <c r="BP42" s="65" t="n"/>
      <c r="BQ42" s="65" t="n"/>
      <c r="BR42" s="65" t="n"/>
      <c r="BS42" s="65" t="n"/>
      <c r="BT42" s="65" t="n"/>
      <c r="BU42" s="65" t="n"/>
      <c r="BV42" s="65" t="n"/>
      <c r="BW42" s="65" t="n"/>
      <c r="BX42" s="65" t="n"/>
      <c r="BY42" s="65" t="n"/>
      <c r="BZ42" s="66" t="n"/>
      <c r="CA42" s="66" t="n"/>
    </row>
    <row r="43" ht="18" customHeight="1">
      <c r="A43" s="61" t="inlineStr">
        <is>
          <t>mistralai/Ministral-3-8B-Instruct-2512</t>
        </is>
      </c>
      <c r="B43" s="62" t="inlineStr">
        <is>
          <t>Mistral</t>
        </is>
      </c>
      <c r="C43" s="62" t="inlineStr">
        <is>
          <t>LM Studio (GGUF)</t>
        </is>
      </c>
      <c r="D43" s="62" t="inlineStr">
        <is>
          <t>Q4_K_M</t>
        </is>
      </c>
      <c r="E43" s="62" t="inlineStr">
        <is>
          <t>8B</t>
        </is>
      </c>
      <c r="F43" s="62" t="inlineStr">
        <is>
          <t>131k</t>
        </is>
      </c>
      <c r="G43" s="63" t="n"/>
      <c r="H43" s="62" t="inlineStr">
        <is>
          <t>Untested</t>
        </is>
      </c>
      <c r="I43" s="64">
        <f>IFERROR((COUNTIF(K43:BY43,"✅")+0.5*COUNTIF(K43:BY43,"⚠️"))/(COUNTIF(K43:BY43,"✅")+COUNTIF(K43:BY43,"⚠️")+COUNTIF(K43:BY43,"❌")),"")</f>
        <v/>
      </c>
      <c r="J43" s="63">
        <f>COUNTIF(K43:BY43,"✅")+COUNTIF(K43:BY43,"⚠️")+COUNTIF(K43:BY43,"❌")+COUNTIF(K43:BY43,"➖")</f>
        <v/>
      </c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  <c r="AA43" s="65" t="n"/>
      <c r="AB43" s="65" t="n"/>
      <c r="AC43" s="65" t="n"/>
      <c r="AD43" s="65" t="n"/>
      <c r="AE43" s="65" t="n"/>
      <c r="AF43" s="65" t="n"/>
      <c r="AG43" s="65" t="n"/>
      <c r="AH43" s="65" t="n"/>
      <c r="AI43" s="65" t="n"/>
      <c r="AJ43" s="65" t="n"/>
      <c r="AK43" s="65" t="n"/>
      <c r="AL43" s="65" t="n"/>
      <c r="AM43" s="65" t="n"/>
      <c r="AN43" s="65" t="n"/>
      <c r="AO43" s="65" t="n"/>
      <c r="AP43" s="65" t="n"/>
      <c r="AQ43" s="65" t="n"/>
      <c r="AR43" s="65" t="n"/>
      <c r="AS43" s="65" t="n"/>
      <c r="AT43" s="65" t="n"/>
      <c r="AU43" s="65" t="n"/>
      <c r="AV43" s="65" t="n"/>
      <c r="AW43" s="65" t="n"/>
      <c r="AX43" s="65" t="n"/>
      <c r="AY43" s="65" t="n"/>
      <c r="AZ43" s="65" t="n"/>
      <c r="BA43" s="65" t="n"/>
      <c r="BB43" s="65" t="n"/>
      <c r="BC43" s="65" t="n"/>
      <c r="BD43" s="65" t="n"/>
      <c r="BE43" s="65" t="n"/>
      <c r="BF43" s="65" t="n"/>
      <c r="BG43" s="65" t="n"/>
      <c r="BH43" s="65" t="n"/>
      <c r="BI43" s="65" t="n"/>
      <c r="BJ43" s="65" t="n"/>
      <c r="BK43" s="65" t="n"/>
      <c r="BL43" s="65" t="n"/>
      <c r="BM43" s="65" t="n"/>
      <c r="BN43" s="65" t="n"/>
      <c r="BO43" s="65" t="n"/>
      <c r="BP43" s="65" t="n"/>
      <c r="BQ43" s="65" t="n"/>
      <c r="BR43" s="65" t="n"/>
      <c r="BS43" s="65" t="n"/>
      <c r="BT43" s="65" t="n"/>
      <c r="BU43" s="65" t="n"/>
      <c r="BV43" s="65" t="n"/>
      <c r="BW43" s="65" t="n"/>
      <c r="BX43" s="65" t="n"/>
      <c r="BY43" s="65" t="n"/>
      <c r="BZ43" s="66" t="n"/>
      <c r="CA43" s="66" t="n"/>
    </row>
    <row r="44" ht="18" customHeight="1">
      <c r="A44" s="61" t="inlineStr">
        <is>
          <t>deepseek-ai/DeepSeek-R1-Distill-Qwen-32B</t>
        </is>
      </c>
      <c r="B44" s="62" t="inlineStr">
        <is>
          <t>DeepSeek</t>
        </is>
      </c>
      <c r="C44" s="62" t="inlineStr">
        <is>
          <t>LM Studio (GGUF)</t>
        </is>
      </c>
      <c r="D44" s="62" t="inlineStr">
        <is>
          <t>Q4_K_M</t>
        </is>
      </c>
      <c r="E44" s="62" t="inlineStr">
        <is>
          <t>32.8B</t>
        </is>
      </c>
      <c r="F44" s="62" t="inlineStr">
        <is>
          <t>131k</t>
        </is>
      </c>
      <c r="G44" s="63" t="n"/>
      <c r="H44" s="62" t="inlineStr">
        <is>
          <t>Untested</t>
        </is>
      </c>
      <c r="I44" s="64">
        <f>IFERROR((COUNTIF(K44:BY44,"✅")+0.5*COUNTIF(K44:BY44,"⚠️"))/(COUNTIF(K44:BY44,"✅")+COUNTIF(K44:BY44,"⚠️")+COUNTIF(K44:BY44,"❌")),"")</f>
        <v/>
      </c>
      <c r="J44" s="63">
        <f>COUNTIF(K44:BY44,"✅")+COUNTIF(K44:BY44,"⚠️")+COUNTIF(K44:BY44,"❌")+COUNTIF(K44:BY44,"➖")</f>
        <v/>
      </c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  <c r="AA44" s="65" t="n"/>
      <c r="AB44" s="65" t="n"/>
      <c r="AC44" s="65" t="n"/>
      <c r="AD44" s="65" t="n"/>
      <c r="AE44" s="65" t="n"/>
      <c r="AF44" s="65" t="n"/>
      <c r="AG44" s="65" t="n"/>
      <c r="AH44" s="65" t="n"/>
      <c r="AI44" s="65" t="n"/>
      <c r="AJ44" s="65" t="n"/>
      <c r="AK44" s="65" t="n"/>
      <c r="AL44" s="65" t="n"/>
      <c r="AM44" s="65" t="n"/>
      <c r="AN44" s="65" t="n"/>
      <c r="AO44" s="65" t="n"/>
      <c r="AP44" s="65" t="n"/>
      <c r="AQ44" s="65" t="n"/>
      <c r="AR44" s="65" t="n"/>
      <c r="AS44" s="65" t="n"/>
      <c r="AT44" s="65" t="n"/>
      <c r="AU44" s="65" t="n"/>
      <c r="AV44" s="65" t="n"/>
      <c r="AW44" s="65" t="n"/>
      <c r="AX44" s="65" t="n"/>
      <c r="AY44" s="65" t="n"/>
      <c r="AZ44" s="65" t="n"/>
      <c r="BA44" s="65" t="n"/>
      <c r="BB44" s="65" t="n"/>
      <c r="BC44" s="65" t="n"/>
      <c r="BD44" s="65" t="n"/>
      <c r="BE44" s="65" t="n"/>
      <c r="BF44" s="65" t="n"/>
      <c r="BG44" s="65" t="n"/>
      <c r="BH44" s="65" t="n"/>
      <c r="BI44" s="65" t="n"/>
      <c r="BJ44" s="65" t="n"/>
      <c r="BK44" s="65" t="n"/>
      <c r="BL44" s="65" t="n"/>
      <c r="BM44" s="65" t="n"/>
      <c r="BN44" s="65" t="n"/>
      <c r="BO44" s="65" t="n"/>
      <c r="BP44" s="65" t="n"/>
      <c r="BQ44" s="65" t="n"/>
      <c r="BR44" s="65" t="n"/>
      <c r="BS44" s="65" t="n"/>
      <c r="BT44" s="65" t="n"/>
      <c r="BU44" s="65" t="n"/>
      <c r="BV44" s="65" t="n"/>
      <c r="BW44" s="65" t="n"/>
      <c r="BX44" s="65" t="n"/>
      <c r="BY44" s="65" t="n"/>
      <c r="BZ44" s="66" t="n"/>
      <c r="CA44" s="66" t="n"/>
    </row>
    <row r="45" ht="18" customHeight="1">
      <c r="A45" s="61" t="inlineStr">
        <is>
          <t>deepseek-ai/DeepSeek-R1-Distill-Qwen-14B</t>
        </is>
      </c>
      <c r="B45" s="62" t="inlineStr">
        <is>
          <t>DeepSeek</t>
        </is>
      </c>
      <c r="C45" s="62" t="inlineStr">
        <is>
          <t>LM Studio (GGUF)</t>
        </is>
      </c>
      <c r="D45" s="62" t="inlineStr">
        <is>
          <t>Q4_K_M</t>
        </is>
      </c>
      <c r="E45" s="62" t="inlineStr">
        <is>
          <t>14.8B</t>
        </is>
      </c>
      <c r="F45" s="62" t="inlineStr">
        <is>
          <t>131k</t>
        </is>
      </c>
      <c r="G45" s="63" t="n"/>
      <c r="H45" s="62" t="inlineStr">
        <is>
          <t>Untested</t>
        </is>
      </c>
      <c r="I45" s="64">
        <f>IFERROR((COUNTIF(K45:BY45,"✅")+0.5*COUNTIF(K45:BY45,"⚠️"))/(COUNTIF(K45:BY45,"✅")+COUNTIF(K45:BY45,"⚠️")+COUNTIF(K45:BY45,"❌")),"")</f>
        <v/>
      </c>
      <c r="J45" s="63">
        <f>COUNTIF(K45:BY45,"✅")+COUNTIF(K45:BY45,"⚠️")+COUNTIF(K45:BY45,"❌")+COUNTIF(K45:BY45,"➖")</f>
        <v/>
      </c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65" t="n"/>
      <c r="AO45" s="65" t="n"/>
      <c r="AP45" s="65" t="n"/>
      <c r="AQ45" s="65" t="n"/>
      <c r="AR45" s="65" t="n"/>
      <c r="AS45" s="65" t="n"/>
      <c r="AT45" s="65" t="n"/>
      <c r="AU45" s="65" t="n"/>
      <c r="AV45" s="65" t="n"/>
      <c r="AW45" s="65" t="n"/>
      <c r="AX45" s="65" t="n"/>
      <c r="AY45" s="65" t="n"/>
      <c r="AZ45" s="65" t="n"/>
      <c r="BA45" s="65" t="n"/>
      <c r="BB45" s="65" t="n"/>
      <c r="BC45" s="65" t="n"/>
      <c r="BD45" s="65" t="n"/>
      <c r="BE45" s="65" t="n"/>
      <c r="BF45" s="65" t="n"/>
      <c r="BG45" s="65" t="n"/>
      <c r="BH45" s="65" t="n"/>
      <c r="BI45" s="65" t="n"/>
      <c r="BJ45" s="65" t="n"/>
      <c r="BK45" s="65" t="n"/>
      <c r="BL45" s="65" t="n"/>
      <c r="BM45" s="65" t="n"/>
      <c r="BN45" s="65" t="n"/>
      <c r="BO45" s="65" t="n"/>
      <c r="BP45" s="65" t="n"/>
      <c r="BQ45" s="65" t="n"/>
      <c r="BR45" s="65" t="n"/>
      <c r="BS45" s="65" t="n"/>
      <c r="BT45" s="65" t="n"/>
      <c r="BU45" s="65" t="n"/>
      <c r="BV45" s="65" t="n"/>
      <c r="BW45" s="65" t="n"/>
      <c r="BX45" s="65" t="n"/>
      <c r="BY45" s="65" t="n"/>
      <c r="BZ45" s="66" t="n"/>
      <c r="CA45" s="66" t="n"/>
    </row>
    <row r="46" ht="18" customHeight="1">
      <c r="A46" s="61" t="inlineStr">
        <is>
          <t>deepseek-ai/DeepSeek-R1-0528-Qwen3-8B</t>
        </is>
      </c>
      <c r="B46" s="62" t="inlineStr">
        <is>
          <t>DeepSeek</t>
        </is>
      </c>
      <c r="C46" s="62" t="inlineStr">
        <is>
          <t>LM Studio (GGUF)</t>
        </is>
      </c>
      <c r="D46" s="62" t="inlineStr">
        <is>
          <t>Q4_K_M</t>
        </is>
      </c>
      <c r="E46" s="62" t="inlineStr">
        <is>
          <t>8.2B</t>
        </is>
      </c>
      <c r="F46" s="62" t="inlineStr">
        <is>
          <t>131k</t>
        </is>
      </c>
      <c r="G46" s="63" t="n"/>
      <c r="H46" s="62" t="inlineStr">
        <is>
          <t>Untested</t>
        </is>
      </c>
      <c r="I46" s="64">
        <f>IFERROR((COUNTIF(K46:BY46,"✅")+0.5*COUNTIF(K46:BY46,"⚠️"))/(COUNTIF(K46:BY46,"✅")+COUNTIF(K46:BY46,"⚠️")+COUNTIF(K46:BY46,"❌")),"")</f>
        <v/>
      </c>
      <c r="J46" s="63">
        <f>COUNTIF(K46:BY46,"✅")+COUNTIF(K46:BY46,"⚠️")+COUNTIF(K46:BY46,"❌")+COUNTIF(K46:BY46,"➖")</f>
        <v/>
      </c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  <c r="BN46" s="65" t="n"/>
      <c r="BO46" s="65" t="n"/>
      <c r="BP46" s="65" t="n"/>
      <c r="BQ46" s="65" t="n"/>
      <c r="BR46" s="65" t="n"/>
      <c r="BS46" s="65" t="n"/>
      <c r="BT46" s="65" t="n"/>
      <c r="BU46" s="65" t="n"/>
      <c r="BV46" s="65" t="n"/>
      <c r="BW46" s="65" t="n"/>
      <c r="BX46" s="65" t="n"/>
      <c r="BY46" s="65" t="n"/>
      <c r="BZ46" s="66" t="n"/>
      <c r="CA46" s="66" t="n"/>
    </row>
    <row r="47" ht="18" customHeight="1">
      <c r="A47" s="61" t="inlineStr">
        <is>
          <t>microsoft/Phi-4-reasoning</t>
        </is>
      </c>
      <c r="B47" s="62" t="inlineStr">
        <is>
          <t>Microsoft</t>
        </is>
      </c>
      <c r="C47" s="62" t="inlineStr">
        <is>
          <t>LM Studio (GGUF)</t>
        </is>
      </c>
      <c r="D47" s="62" t="inlineStr">
        <is>
          <t>Q4_K_M</t>
        </is>
      </c>
      <c r="E47" s="62" t="inlineStr">
        <is>
          <t>14B</t>
        </is>
      </c>
      <c r="F47" s="62" t="inlineStr">
        <is>
          <t>33k</t>
        </is>
      </c>
      <c r="G47" s="63" t="n"/>
      <c r="H47" s="62" t="inlineStr">
        <is>
          <t>Untested</t>
        </is>
      </c>
      <c r="I47" s="64">
        <f>IFERROR((COUNTIF(K47:BY47,"✅")+0.5*COUNTIF(K47:BY47,"⚠️"))/(COUNTIF(K47:BY47,"✅")+COUNTIF(K47:BY47,"⚠️")+COUNTIF(K47:BY47,"❌")),"")</f>
        <v/>
      </c>
      <c r="J47" s="63">
        <f>COUNTIF(K47:BY47,"✅")+COUNTIF(K47:BY47,"⚠️")+COUNTIF(K47:BY47,"❌")+COUNTIF(K47:BY47,"➖")</f>
        <v/>
      </c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  <c r="AA47" s="65" t="n"/>
      <c r="AB47" s="65" t="n"/>
      <c r="AC47" s="65" t="n"/>
      <c r="AD47" s="65" t="n"/>
      <c r="AE47" s="65" t="n"/>
      <c r="AF47" s="65" t="n"/>
      <c r="AG47" s="65" t="n"/>
      <c r="AH47" s="65" t="n"/>
      <c r="AI47" s="65" t="n"/>
      <c r="AJ47" s="65" t="n"/>
      <c r="AK47" s="65" t="n"/>
      <c r="AL47" s="65" t="n"/>
      <c r="AM47" s="65" t="n"/>
      <c r="AN47" s="65" t="n"/>
      <c r="AO47" s="65" t="n"/>
      <c r="AP47" s="65" t="n"/>
      <c r="AQ47" s="65" t="n"/>
      <c r="AR47" s="65" t="n"/>
      <c r="AS47" s="65" t="n"/>
      <c r="AT47" s="65" t="n"/>
      <c r="AU47" s="65" t="n"/>
      <c r="AV47" s="65" t="n"/>
      <c r="AW47" s="65" t="n"/>
      <c r="AX47" s="65" t="n"/>
      <c r="AY47" s="65" t="n"/>
      <c r="AZ47" s="65" t="n"/>
      <c r="BA47" s="65" t="n"/>
      <c r="BB47" s="65" t="n"/>
      <c r="BC47" s="65" t="n"/>
      <c r="BD47" s="65" t="n"/>
      <c r="BE47" s="65" t="n"/>
      <c r="BF47" s="65" t="n"/>
      <c r="BG47" s="65" t="n"/>
      <c r="BH47" s="65" t="n"/>
      <c r="BI47" s="65" t="n"/>
      <c r="BJ47" s="65" t="n"/>
      <c r="BK47" s="65" t="n"/>
      <c r="BL47" s="65" t="n"/>
      <c r="BM47" s="65" t="n"/>
      <c r="BN47" s="65" t="n"/>
      <c r="BO47" s="65" t="n"/>
      <c r="BP47" s="65" t="n"/>
      <c r="BQ47" s="65" t="n"/>
      <c r="BR47" s="65" t="n"/>
      <c r="BS47" s="65" t="n"/>
      <c r="BT47" s="65" t="n"/>
      <c r="BU47" s="65" t="n"/>
      <c r="BV47" s="65" t="n"/>
      <c r="BW47" s="65" t="n"/>
      <c r="BX47" s="65" t="n"/>
      <c r="BY47" s="65" t="n"/>
      <c r="BZ47" s="66" t="n"/>
      <c r="CA47" s="66" t="n"/>
    </row>
    <row r="48" ht="18" customHeight="1">
      <c r="A48" s="61" t="inlineStr">
        <is>
          <t>microsoft/Phi-4-mini-reasoning</t>
        </is>
      </c>
      <c r="B48" s="62" t="inlineStr">
        <is>
          <t>Microsoft</t>
        </is>
      </c>
      <c r="C48" s="62" t="inlineStr">
        <is>
          <t>LM Studio (GGUF)</t>
        </is>
      </c>
      <c r="D48" s="62" t="inlineStr">
        <is>
          <t>Q4_K_M</t>
        </is>
      </c>
      <c r="E48" s="62" t="inlineStr">
        <is>
          <t>3.8B</t>
        </is>
      </c>
      <c r="F48" s="62" t="inlineStr">
        <is>
          <t>16k</t>
        </is>
      </c>
      <c r="G48" s="63" t="n"/>
      <c r="H48" s="62" t="inlineStr">
        <is>
          <t>Untested</t>
        </is>
      </c>
      <c r="I48" s="64">
        <f>IFERROR((COUNTIF(K48:BY48,"✅")+0.5*COUNTIF(K48:BY48,"⚠️"))/(COUNTIF(K48:BY48,"✅")+COUNTIF(K48:BY48,"⚠️")+COUNTIF(K48:BY48,"❌")),"")</f>
        <v/>
      </c>
      <c r="J48" s="63">
        <f>COUNTIF(K48:BY48,"✅")+COUNTIF(K48:BY48,"⚠️")+COUNTIF(K48:BY48,"❌")+COUNTIF(K48:BY48,"➖")</f>
        <v/>
      </c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 t="n"/>
      <c r="AW48" s="65" t="n"/>
      <c r="AX48" s="65" t="n"/>
      <c r="AY48" s="65" t="n"/>
      <c r="AZ48" s="65" t="n"/>
      <c r="BA48" s="65" t="n"/>
      <c r="BB48" s="65" t="n"/>
      <c r="BC48" s="65" t="n"/>
      <c r="BD48" s="65" t="n"/>
      <c r="BE48" s="65" t="n"/>
      <c r="BF48" s="65" t="n"/>
      <c r="BG48" s="65" t="n"/>
      <c r="BH48" s="65" t="n"/>
      <c r="BI48" s="65" t="n"/>
      <c r="BJ48" s="65" t="n"/>
      <c r="BK48" s="65" t="n"/>
      <c r="BL48" s="65" t="n"/>
      <c r="BM48" s="65" t="n"/>
      <c r="BN48" s="65" t="n"/>
      <c r="BO48" s="65" t="n"/>
      <c r="BP48" s="65" t="n"/>
      <c r="BQ48" s="65" t="n"/>
      <c r="BR48" s="65" t="n"/>
      <c r="BS48" s="65" t="n"/>
      <c r="BT48" s="65" t="n"/>
      <c r="BU48" s="65" t="n"/>
      <c r="BV48" s="65" t="n"/>
      <c r="BW48" s="65" t="n"/>
      <c r="BX48" s="65" t="n"/>
      <c r="BY48" s="65" t="n"/>
      <c r="BZ48" s="66" t="n"/>
      <c r="CA48" s="66" t="n"/>
    </row>
    <row r="49" ht="18" customHeight="1">
      <c r="A49" s="61" t="inlineStr">
        <is>
          <t>nvidia/NVIDIA-Nemotron-3-Nano-30B-A3B</t>
        </is>
      </c>
      <c r="B49" s="62" t="inlineStr">
        <is>
          <t>NVIDIA</t>
        </is>
      </c>
      <c r="C49" s="62" t="inlineStr">
        <is>
          <t>LM Studio (GGUF)</t>
        </is>
      </c>
      <c r="D49" s="62" t="inlineStr">
        <is>
          <t>Q4_K_M</t>
        </is>
      </c>
      <c r="E49" s="62" t="inlineStr">
        <is>
          <t>31.6B</t>
        </is>
      </c>
      <c r="F49" s="62" t="inlineStr">
        <is>
          <t>262k</t>
        </is>
      </c>
      <c r="G49" s="63" t="n"/>
      <c r="H49" s="62" t="inlineStr">
        <is>
          <t>Untested</t>
        </is>
      </c>
      <c r="I49" s="64">
        <f>IFERROR((COUNTIF(K49:BY49,"✅")+0.5*COUNTIF(K49:BY49,"⚠️"))/(COUNTIF(K49:BY49,"✅")+COUNTIF(K49:BY49,"⚠️")+COUNTIF(K49:BY49,"❌")),"")</f>
        <v/>
      </c>
      <c r="J49" s="63">
        <f>COUNTIF(K49:BY49,"✅")+COUNTIF(K49:BY49,"⚠️")+COUNTIF(K49:BY49,"❌")+COUNTIF(K49:BY49,"➖")</f>
        <v/>
      </c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5" t="n"/>
      <c r="AI49" s="65" t="n"/>
      <c r="AJ49" s="65" t="n"/>
      <c r="AK49" s="65" t="n"/>
      <c r="AL49" s="65" t="n"/>
      <c r="AM49" s="65" t="n"/>
      <c r="AN49" s="65" t="n"/>
      <c r="AO49" s="65" t="n"/>
      <c r="AP49" s="65" t="n"/>
      <c r="AQ49" s="65" t="n"/>
      <c r="AR49" s="65" t="n"/>
      <c r="AS49" s="65" t="n"/>
      <c r="AT49" s="65" t="n"/>
      <c r="AU49" s="65" t="n"/>
      <c r="AV49" s="65" t="n"/>
      <c r="AW49" s="65" t="n"/>
      <c r="AX49" s="65" t="n"/>
      <c r="AY49" s="65" t="n"/>
      <c r="AZ49" s="65" t="n"/>
      <c r="BA49" s="65" t="n"/>
      <c r="BB49" s="65" t="n"/>
      <c r="BC49" s="65" t="n"/>
      <c r="BD49" s="65" t="n"/>
      <c r="BE49" s="65" t="n"/>
      <c r="BF49" s="65" t="n"/>
      <c r="BG49" s="65" t="n"/>
      <c r="BH49" s="65" t="n"/>
      <c r="BI49" s="65" t="n"/>
      <c r="BJ49" s="65" t="n"/>
      <c r="BK49" s="65" t="n"/>
      <c r="BL49" s="65" t="n"/>
      <c r="BM49" s="65" t="n"/>
      <c r="BN49" s="65" t="n"/>
      <c r="BO49" s="65" t="n"/>
      <c r="BP49" s="65" t="n"/>
      <c r="BQ49" s="65" t="n"/>
      <c r="BR49" s="65" t="n"/>
      <c r="BS49" s="65" t="n"/>
      <c r="BT49" s="65" t="n"/>
      <c r="BU49" s="65" t="n"/>
      <c r="BV49" s="65" t="n"/>
      <c r="BW49" s="65" t="n"/>
      <c r="BX49" s="65" t="n"/>
      <c r="BY49" s="65" t="n"/>
      <c r="BZ49" s="66" t="n"/>
      <c r="CA49" s="66" t="n"/>
    </row>
    <row r="50" ht="18" customHeight="1">
      <c r="A50" s="61" t="inlineStr">
        <is>
          <t>NousResearch/Hermes-3-Llama-3.1-8B</t>
        </is>
      </c>
      <c r="B50" s="62" t="inlineStr">
        <is>
          <t>Nous</t>
        </is>
      </c>
      <c r="C50" s="62" t="inlineStr">
        <is>
          <t>LM Studio (GGUF)</t>
        </is>
      </c>
      <c r="D50" s="62" t="inlineStr">
        <is>
          <t>Q4_K_M</t>
        </is>
      </c>
      <c r="E50" s="62" t="inlineStr">
        <is>
          <t>8B</t>
        </is>
      </c>
      <c r="F50" s="62" t="inlineStr">
        <is>
          <t>131k</t>
        </is>
      </c>
      <c r="G50" s="63" t="n"/>
      <c r="H50" s="62" t="inlineStr">
        <is>
          <t>Untested</t>
        </is>
      </c>
      <c r="I50" s="64">
        <f>IFERROR((COUNTIF(K50:BY50,"✅")+0.5*COUNTIF(K50:BY50,"⚠️"))/(COUNTIF(K50:BY50,"✅")+COUNTIF(K50:BY50,"⚠️")+COUNTIF(K50:BY50,"❌")),"")</f>
        <v/>
      </c>
      <c r="J50" s="63">
        <f>COUNTIF(K50:BY50,"✅")+COUNTIF(K50:BY50,"⚠️")+COUNTIF(K50:BY50,"❌")+COUNTIF(K50:BY50,"➖")</f>
        <v/>
      </c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  <c r="BW50" s="65" t="n"/>
      <c r="BX50" s="65" t="n"/>
      <c r="BY50" s="65" t="n"/>
      <c r="BZ50" s="66" t="n"/>
      <c r="CA50" s="66" t="n"/>
    </row>
    <row r="51" ht="18" customHeight="1">
      <c r="A51" s="61" t="inlineStr">
        <is>
          <t>NousResearch/Hermes-4-70B</t>
        </is>
      </c>
      <c r="B51" s="62" t="inlineStr">
        <is>
          <t>Nous</t>
        </is>
      </c>
      <c r="C51" s="62" t="inlineStr">
        <is>
          <t>LM Studio (GGUF)</t>
        </is>
      </c>
      <c r="D51" s="62" t="inlineStr">
        <is>
          <t>Q4_K_M</t>
        </is>
      </c>
      <c r="E51" s="62" t="inlineStr">
        <is>
          <t>70B</t>
        </is>
      </c>
      <c r="F51" s="62" t="inlineStr">
        <is>
          <t>131k</t>
        </is>
      </c>
      <c r="G51" s="63" t="n"/>
      <c r="H51" s="62" t="inlineStr">
        <is>
          <t>Untested</t>
        </is>
      </c>
      <c r="I51" s="64">
        <f>IFERROR((COUNTIF(K51:BY51,"✅")+0.5*COUNTIF(K51:BY51,"⚠️"))/(COUNTIF(K51:BY51,"✅")+COUNTIF(K51:BY51,"⚠️")+COUNTIF(K51:BY51,"❌")),"")</f>
        <v/>
      </c>
      <c r="J51" s="63">
        <f>COUNTIF(K51:BY51,"✅")+COUNTIF(K51:BY51,"⚠️")+COUNTIF(K51:BY51,"❌")+COUNTIF(K51:BY51,"➖")</f>
        <v/>
      </c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  <c r="BN51" s="65" t="n"/>
      <c r="BO51" s="65" t="n"/>
      <c r="BP51" s="65" t="n"/>
      <c r="BQ51" s="65" t="n"/>
      <c r="BR51" s="65" t="n"/>
      <c r="BS51" s="65" t="n"/>
      <c r="BT51" s="65" t="n"/>
      <c r="BU51" s="65" t="n"/>
      <c r="BV51" s="65" t="n"/>
      <c r="BW51" s="65" t="n"/>
      <c r="BX51" s="65" t="n"/>
      <c r="BY51" s="65" t="n"/>
      <c r="BZ51" s="66" t="n"/>
      <c r="CA51" s="66" t="n"/>
    </row>
    <row r="52" ht="18" customHeight="1">
      <c r="A52" s="61" t="inlineStr">
        <is>
          <t>ByteDance/Seed-OSS-36B-Instruct</t>
        </is>
      </c>
      <c r="B52" s="62" t="inlineStr">
        <is>
          <t>ByteDance</t>
        </is>
      </c>
      <c r="C52" s="62" t="inlineStr">
        <is>
          <t>LM Studio (GGUF)</t>
        </is>
      </c>
      <c r="D52" s="62" t="inlineStr">
        <is>
          <t>Q4_K_M</t>
        </is>
      </c>
      <c r="E52" s="62" t="inlineStr">
        <is>
          <t>36.2B</t>
        </is>
      </c>
      <c r="F52" s="62" t="inlineStr">
        <is>
          <t>524k</t>
        </is>
      </c>
      <c r="G52" s="63" t="n"/>
      <c r="H52" s="62" t="inlineStr">
        <is>
          <t>Untested</t>
        </is>
      </c>
      <c r="I52" s="64">
        <f>IFERROR((COUNTIF(K52:BY52,"✅")+0.5*COUNTIF(K52:BY52,"⚠️"))/(COUNTIF(K52:BY52,"✅")+COUNTIF(K52:BY52,"⚠️")+COUNTIF(K52:BY52,"❌")),"")</f>
        <v/>
      </c>
      <c r="J52" s="63">
        <f>COUNTIF(K52:BY52,"✅")+COUNTIF(K52:BY52,"⚠️")+COUNTIF(K52:BY52,"❌")+COUNTIF(K52:BY52,"➖")</f>
        <v/>
      </c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  <c r="BN52" s="65" t="n"/>
      <c r="BO52" s="65" t="n"/>
      <c r="BP52" s="65" t="n"/>
      <c r="BQ52" s="65" t="n"/>
      <c r="BR52" s="65" t="n"/>
      <c r="BS52" s="65" t="n"/>
      <c r="BT52" s="65" t="n"/>
      <c r="BU52" s="65" t="n"/>
      <c r="BV52" s="65" t="n"/>
      <c r="BW52" s="65" t="n"/>
      <c r="BX52" s="65" t="n"/>
      <c r="BY52" s="65" t="n"/>
      <c r="BZ52" s="66" t="n"/>
      <c r="CA52" s="66" t="n"/>
    </row>
    <row r="53" ht="18" customHeight="1">
      <c r="A53" s="61" t="inlineStr">
        <is>
          <t>moonshotai/Kimi-Linear-48B-A3B-Instruct</t>
        </is>
      </c>
      <c r="B53" s="62" t="inlineStr">
        <is>
          <t>Moonshot</t>
        </is>
      </c>
      <c r="C53" s="62" t="inlineStr">
        <is>
          <t>LM Studio (GGUF)</t>
        </is>
      </c>
      <c r="D53" s="62" t="inlineStr">
        <is>
          <t>Q4_K_M</t>
        </is>
      </c>
      <c r="E53" s="62" t="inlineStr">
        <is>
          <t>49.1B</t>
        </is>
      </c>
      <c r="F53" s="62" t="inlineStr">
        <is>
          <t>131k</t>
        </is>
      </c>
      <c r="G53" s="63" t="n"/>
      <c r="H53" s="62" t="inlineStr">
        <is>
          <t>Untested</t>
        </is>
      </c>
      <c r="I53" s="64">
        <f>IFERROR((COUNTIF(K53:BY53,"✅")+0.5*COUNTIF(K53:BY53,"⚠️"))/(COUNTIF(K53:BY53,"✅")+COUNTIF(K53:BY53,"⚠️")+COUNTIF(K53:BY53,"❌")),"")</f>
        <v/>
      </c>
      <c r="J53" s="63">
        <f>COUNTIF(K53:BY53,"✅")+COUNTIF(K53:BY53,"⚠️")+COUNTIF(K53:BY53,"❌")+COUNTIF(K53:BY53,"➖")</f>
        <v/>
      </c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  <c r="AA53" s="65" t="n"/>
      <c r="AB53" s="65" t="n"/>
      <c r="AC53" s="65" t="n"/>
      <c r="AD53" s="65" t="n"/>
      <c r="AE53" s="65" t="n"/>
      <c r="AF53" s="65" t="n"/>
      <c r="AG53" s="65" t="n"/>
      <c r="AH53" s="65" t="n"/>
      <c r="AI53" s="65" t="n"/>
      <c r="AJ53" s="65" t="n"/>
      <c r="AK53" s="65" t="n"/>
      <c r="AL53" s="65" t="n"/>
      <c r="AM53" s="65" t="n"/>
      <c r="AN53" s="65" t="n"/>
      <c r="AO53" s="65" t="n"/>
      <c r="AP53" s="65" t="n"/>
      <c r="AQ53" s="65" t="n"/>
      <c r="AR53" s="65" t="n"/>
      <c r="AS53" s="65" t="n"/>
      <c r="AT53" s="65" t="n"/>
      <c r="AU53" s="65" t="n"/>
      <c r="AV53" s="65" t="n"/>
      <c r="AW53" s="65" t="n"/>
      <c r="AX53" s="65" t="n"/>
      <c r="AY53" s="65" t="n"/>
      <c r="AZ53" s="65" t="n"/>
      <c r="BA53" s="65" t="n"/>
      <c r="BB53" s="65" t="n"/>
      <c r="BC53" s="65" t="n"/>
      <c r="BD53" s="65" t="n"/>
      <c r="BE53" s="65" t="n"/>
      <c r="BF53" s="65" t="n"/>
      <c r="BG53" s="65" t="n"/>
      <c r="BH53" s="65" t="n"/>
      <c r="BI53" s="65" t="n"/>
      <c r="BJ53" s="65" t="n"/>
      <c r="BK53" s="65" t="n"/>
      <c r="BL53" s="65" t="n"/>
      <c r="BM53" s="65" t="n"/>
      <c r="BN53" s="65" t="n"/>
      <c r="BO53" s="65" t="n"/>
      <c r="BP53" s="65" t="n"/>
      <c r="BQ53" s="65" t="n"/>
      <c r="BR53" s="65" t="n"/>
      <c r="BS53" s="65" t="n"/>
      <c r="BT53" s="65" t="n"/>
      <c r="BU53" s="65" t="n"/>
      <c r="BV53" s="65" t="n"/>
      <c r="BW53" s="65" t="n"/>
      <c r="BX53" s="65" t="n"/>
      <c r="BY53" s="65" t="n"/>
      <c r="BZ53" s="66" t="n"/>
      <c r="CA53" s="66" t="n"/>
    </row>
    <row r="54" ht="18" customHeight="1">
      <c r="A54" s="61" t="inlineStr">
        <is>
          <t>MiniMaxAI/MiniMax-M2</t>
        </is>
      </c>
      <c r="B54" s="62" t="inlineStr">
        <is>
          <t>MiniMax</t>
        </is>
      </c>
      <c r="C54" s="62" t="inlineStr">
        <is>
          <t>LM Studio (GGUF)</t>
        </is>
      </c>
      <c r="D54" s="62" t="inlineStr">
        <is>
          <t>Q4_K_M</t>
        </is>
      </c>
      <c r="E54" s="62" t="inlineStr">
        <is>
          <t>229B</t>
        </is>
      </c>
      <c r="F54" s="62" t="inlineStr">
        <is>
          <t>197k</t>
        </is>
      </c>
      <c r="G54" s="63" t="n"/>
      <c r="H54" s="62" t="inlineStr">
        <is>
          <t>Untested</t>
        </is>
      </c>
      <c r="I54" s="64">
        <f>IFERROR((COUNTIF(K54:BY54,"✅")+0.5*COUNTIF(K54:BY54,"⚠️"))/(COUNTIF(K54:BY54,"✅")+COUNTIF(K54:BY54,"⚠️")+COUNTIF(K54:BY54,"❌")),"")</f>
        <v/>
      </c>
      <c r="J54" s="63">
        <f>COUNTIF(K54:BY54,"✅")+COUNTIF(K54:BY54,"⚠️")+COUNTIF(K54:BY54,"❌")+COUNTIF(K54:BY54,"➖")</f>
        <v/>
      </c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  <c r="AA54" s="65" t="n"/>
      <c r="AB54" s="65" t="n"/>
      <c r="AC54" s="65" t="n"/>
      <c r="AD54" s="65" t="n"/>
      <c r="AE54" s="65" t="n"/>
      <c r="AF54" s="65" t="n"/>
      <c r="AG54" s="65" t="n"/>
      <c r="AH54" s="65" t="n"/>
      <c r="AI54" s="65" t="n"/>
      <c r="AJ54" s="65" t="n"/>
      <c r="AK54" s="65" t="n"/>
      <c r="AL54" s="65" t="n"/>
      <c r="AM54" s="65" t="n"/>
      <c r="AN54" s="65" t="n"/>
      <c r="AO54" s="65" t="n"/>
      <c r="AP54" s="65" t="n"/>
      <c r="AQ54" s="65" t="n"/>
      <c r="AR54" s="65" t="n"/>
      <c r="AS54" s="65" t="n"/>
      <c r="AT54" s="65" t="n"/>
      <c r="AU54" s="65" t="n"/>
      <c r="AV54" s="65" t="n"/>
      <c r="AW54" s="65" t="n"/>
      <c r="AX54" s="65" t="n"/>
      <c r="AY54" s="65" t="n"/>
      <c r="AZ54" s="65" t="n"/>
      <c r="BA54" s="65" t="n"/>
      <c r="BB54" s="65" t="n"/>
      <c r="BC54" s="65" t="n"/>
      <c r="BD54" s="65" t="n"/>
      <c r="BE54" s="65" t="n"/>
      <c r="BF54" s="65" t="n"/>
      <c r="BG54" s="65" t="n"/>
      <c r="BH54" s="65" t="n"/>
      <c r="BI54" s="65" t="n"/>
      <c r="BJ54" s="65" t="n"/>
      <c r="BK54" s="65" t="n"/>
      <c r="BL54" s="65" t="n"/>
      <c r="BM54" s="65" t="n"/>
      <c r="BN54" s="65" t="n"/>
      <c r="BO54" s="65" t="n"/>
      <c r="BP54" s="65" t="n"/>
      <c r="BQ54" s="65" t="n"/>
      <c r="BR54" s="65" t="n"/>
      <c r="BS54" s="65" t="n"/>
      <c r="BT54" s="65" t="n"/>
      <c r="BU54" s="65" t="n"/>
      <c r="BV54" s="65" t="n"/>
      <c r="BW54" s="65" t="n"/>
      <c r="BX54" s="65" t="n"/>
      <c r="BY54" s="65" t="n"/>
      <c r="BZ54" s="66" t="n"/>
      <c r="CA54" s="66" t="n"/>
    </row>
    <row r="55" ht="18" customHeight="1">
      <c r="A55" s="61" t="inlineStr">
        <is>
          <t>LGAI-EXAONE/EXAONE-4.0.1-32B</t>
        </is>
      </c>
      <c r="B55" s="62" t="inlineStr">
        <is>
          <t>LG AI</t>
        </is>
      </c>
      <c r="C55" s="62" t="inlineStr">
        <is>
          <t>LM Studio (GGUF)</t>
        </is>
      </c>
      <c r="D55" s="62" t="inlineStr">
        <is>
          <t>Q4_K_M</t>
        </is>
      </c>
      <c r="E55" s="62" t="inlineStr">
        <is>
          <t>32B</t>
        </is>
      </c>
      <c r="F55" s="62" t="inlineStr">
        <is>
          <t>131k</t>
        </is>
      </c>
      <c r="G55" s="63" t="n"/>
      <c r="H55" s="62" t="inlineStr">
        <is>
          <t>Untested</t>
        </is>
      </c>
      <c r="I55" s="64">
        <f>IFERROR((COUNTIF(K55:BY55,"✅")+0.5*COUNTIF(K55:BY55,"⚠️"))/(COUNTIF(K55:BY55,"✅")+COUNTIF(K55:BY55,"⚠️")+COUNTIF(K55:BY55,"❌")),"")</f>
        <v/>
      </c>
      <c r="J55" s="63">
        <f>COUNTIF(K55:BY55,"✅")+COUNTIF(K55:BY55,"⚠️")+COUNTIF(K55:BY55,"❌")+COUNTIF(K55:BY55,"➖")</f>
        <v/>
      </c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  <c r="AA55" s="65" t="n"/>
      <c r="AB55" s="65" t="n"/>
      <c r="AC55" s="65" t="n"/>
      <c r="AD55" s="65" t="n"/>
      <c r="AE55" s="65" t="n"/>
      <c r="AF55" s="65" t="n"/>
      <c r="AG55" s="65" t="n"/>
      <c r="AH55" s="65" t="n"/>
      <c r="AI55" s="65" t="n"/>
      <c r="AJ55" s="65" t="n"/>
      <c r="AK55" s="65" t="n"/>
      <c r="AL55" s="65" t="n"/>
      <c r="AM55" s="65" t="n"/>
      <c r="AN55" s="65" t="n"/>
      <c r="AO55" s="65" t="n"/>
      <c r="AP55" s="65" t="n"/>
      <c r="AQ55" s="65" t="n"/>
      <c r="AR55" s="65" t="n"/>
      <c r="AS55" s="65" t="n"/>
      <c r="AT55" s="65" t="n"/>
      <c r="AU55" s="65" t="n"/>
      <c r="AV55" s="65" t="n"/>
      <c r="AW55" s="65" t="n"/>
      <c r="AX55" s="65" t="n"/>
      <c r="AY55" s="65" t="n"/>
      <c r="AZ55" s="65" t="n"/>
      <c r="BA55" s="65" t="n"/>
      <c r="BB55" s="65" t="n"/>
      <c r="BC55" s="65" t="n"/>
      <c r="BD55" s="65" t="n"/>
      <c r="BE55" s="65" t="n"/>
      <c r="BF55" s="65" t="n"/>
      <c r="BG55" s="65" t="n"/>
      <c r="BH55" s="65" t="n"/>
      <c r="BI55" s="65" t="n"/>
      <c r="BJ55" s="65" t="n"/>
      <c r="BK55" s="65" t="n"/>
      <c r="BL55" s="65" t="n"/>
      <c r="BM55" s="65" t="n"/>
      <c r="BN55" s="65" t="n"/>
      <c r="BO55" s="65" t="n"/>
      <c r="BP55" s="65" t="n"/>
      <c r="BQ55" s="65" t="n"/>
      <c r="BR55" s="65" t="n"/>
      <c r="BS55" s="65" t="n"/>
      <c r="BT55" s="65" t="n"/>
      <c r="BU55" s="65" t="n"/>
      <c r="BV55" s="65" t="n"/>
      <c r="BW55" s="65" t="n"/>
      <c r="BX55" s="65" t="n"/>
      <c r="BY55" s="65" t="n"/>
      <c r="BZ55" s="66" t="n"/>
      <c r="CA55" s="66" t="n"/>
    </row>
    <row r="56" ht="18" customHeight="1">
      <c r="A56" s="61" t="inlineStr">
        <is>
          <t>allenai/Olmo-3-7B-Instruct</t>
        </is>
      </c>
      <c r="B56" s="62" t="inlineStr">
        <is>
          <t>AI2</t>
        </is>
      </c>
      <c r="C56" s="62" t="inlineStr">
        <is>
          <t>LM Studio (GGUF)</t>
        </is>
      </c>
      <c r="D56" s="62" t="inlineStr">
        <is>
          <t>Q4_K_M</t>
        </is>
      </c>
      <c r="E56" s="62" t="inlineStr">
        <is>
          <t>7.3B</t>
        </is>
      </c>
      <c r="F56" s="62" t="inlineStr">
        <is>
          <t>66k</t>
        </is>
      </c>
      <c r="G56" s="63" t="n"/>
      <c r="H56" s="62" t="inlineStr">
        <is>
          <t>Untested</t>
        </is>
      </c>
      <c r="I56" s="64">
        <f>IFERROR((COUNTIF(K56:BY56,"✅")+0.5*COUNTIF(K56:BY56,"⚠️"))/(COUNTIF(K56:BY56,"✅")+COUNTIF(K56:BY56,"⚠️")+COUNTIF(K56:BY56,"❌")),"")</f>
        <v/>
      </c>
      <c r="J56" s="63">
        <f>COUNTIF(K56:BY56,"✅")+COUNTIF(K56:BY56,"⚠️")+COUNTIF(K56:BY56,"❌")+COUNTIF(K56:BY56,"➖")</f>
        <v/>
      </c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  <c r="AA56" s="65" t="n"/>
      <c r="AB56" s="65" t="n"/>
      <c r="AC56" s="65" t="n"/>
      <c r="AD56" s="65" t="n"/>
      <c r="AE56" s="65" t="n"/>
      <c r="AF56" s="65" t="n"/>
      <c r="AG56" s="65" t="n"/>
      <c r="AH56" s="65" t="n"/>
      <c r="AI56" s="65" t="n"/>
      <c r="AJ56" s="65" t="n"/>
      <c r="AK56" s="65" t="n"/>
      <c r="AL56" s="65" t="n"/>
      <c r="AM56" s="65" t="n"/>
      <c r="AN56" s="65" t="n"/>
      <c r="AO56" s="65" t="n"/>
      <c r="AP56" s="65" t="n"/>
      <c r="AQ56" s="65" t="n"/>
      <c r="AR56" s="65" t="n"/>
      <c r="AS56" s="65" t="n"/>
      <c r="AT56" s="65" t="n"/>
      <c r="AU56" s="65" t="n"/>
      <c r="AV56" s="65" t="n"/>
      <c r="AW56" s="65" t="n"/>
      <c r="AX56" s="65" t="n"/>
      <c r="AY56" s="65" t="n"/>
      <c r="AZ56" s="65" t="n"/>
      <c r="BA56" s="65" t="n"/>
      <c r="BB56" s="65" t="n"/>
      <c r="BC56" s="65" t="n"/>
      <c r="BD56" s="65" t="n"/>
      <c r="BE56" s="65" t="n"/>
      <c r="BF56" s="65" t="n"/>
      <c r="BG56" s="65" t="n"/>
      <c r="BH56" s="65" t="n"/>
      <c r="BI56" s="65" t="n"/>
      <c r="BJ56" s="65" t="n"/>
      <c r="BK56" s="65" t="n"/>
      <c r="BL56" s="65" t="n"/>
      <c r="BM56" s="65" t="n"/>
      <c r="BN56" s="65" t="n"/>
      <c r="BO56" s="65" t="n"/>
      <c r="BP56" s="65" t="n"/>
      <c r="BQ56" s="65" t="n"/>
      <c r="BR56" s="65" t="n"/>
      <c r="BS56" s="65" t="n"/>
      <c r="BT56" s="65" t="n"/>
      <c r="BU56" s="65" t="n"/>
      <c r="BV56" s="65" t="n"/>
      <c r="BW56" s="65" t="n"/>
      <c r="BX56" s="65" t="n"/>
      <c r="BY56" s="65" t="n"/>
      <c r="BZ56" s="66" t="n"/>
      <c r="CA56" s="66" t="n"/>
    </row>
    <row r="57" ht="18" customHeight="1">
      <c r="A57" s="61" t="inlineStr">
        <is>
          <t>HuggingFaceTB/SmolLM3-3B</t>
        </is>
      </c>
      <c r="B57" s="62" t="inlineStr">
        <is>
          <t>HuggingFace</t>
        </is>
      </c>
      <c r="C57" s="62" t="inlineStr">
        <is>
          <t>LM Studio (GGUF)</t>
        </is>
      </c>
      <c r="D57" s="62" t="inlineStr">
        <is>
          <t>Q4_K_M</t>
        </is>
      </c>
      <c r="E57" s="62" t="inlineStr">
        <is>
          <t>3B</t>
        </is>
      </c>
      <c r="F57" s="62" t="inlineStr">
        <is>
          <t>131k</t>
        </is>
      </c>
      <c r="G57" s="63" t="n"/>
      <c r="H57" s="62" t="inlineStr">
        <is>
          <t>Untested</t>
        </is>
      </c>
      <c r="I57" s="64">
        <f>IFERROR((COUNTIF(K57:BY57,"✅")+0.5*COUNTIF(K57:BY57,"⚠️"))/(COUNTIF(K57:BY57,"✅")+COUNTIF(K57:BY57,"⚠️")+COUNTIF(K57:BY57,"❌")),"")</f>
        <v/>
      </c>
      <c r="J57" s="63">
        <f>COUNTIF(K57:BY57,"✅")+COUNTIF(K57:BY57,"⚠️")+COUNTIF(K57:BY57,"❌")+COUNTIF(K57:BY57,"➖")</f>
        <v/>
      </c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  <c r="AA57" s="65" t="n"/>
      <c r="AB57" s="65" t="n"/>
      <c r="AC57" s="65" t="n"/>
      <c r="AD57" s="65" t="n"/>
      <c r="AE57" s="65" t="n"/>
      <c r="AF57" s="65" t="n"/>
      <c r="AG57" s="65" t="n"/>
      <c r="AH57" s="65" t="n"/>
      <c r="AI57" s="65" t="n"/>
      <c r="AJ57" s="65" t="n"/>
      <c r="AK57" s="65" t="n"/>
      <c r="AL57" s="65" t="n"/>
      <c r="AM57" s="65" t="n"/>
      <c r="AN57" s="65" t="n"/>
      <c r="AO57" s="65" t="n"/>
      <c r="AP57" s="65" t="n"/>
      <c r="AQ57" s="65" t="n"/>
      <c r="AR57" s="65" t="n"/>
      <c r="AS57" s="65" t="n"/>
      <c r="AT57" s="65" t="n"/>
      <c r="AU57" s="65" t="n"/>
      <c r="AV57" s="65" t="n"/>
      <c r="AW57" s="65" t="n"/>
      <c r="AX57" s="65" t="n"/>
      <c r="AY57" s="65" t="n"/>
      <c r="AZ57" s="65" t="n"/>
      <c r="BA57" s="65" t="n"/>
      <c r="BB57" s="65" t="n"/>
      <c r="BC57" s="65" t="n"/>
      <c r="BD57" s="65" t="n"/>
      <c r="BE57" s="65" t="n"/>
      <c r="BF57" s="65" t="n"/>
      <c r="BG57" s="65" t="n"/>
      <c r="BH57" s="65" t="n"/>
      <c r="BI57" s="65" t="n"/>
      <c r="BJ57" s="65" t="n"/>
      <c r="BK57" s="65" t="n"/>
      <c r="BL57" s="65" t="n"/>
      <c r="BM57" s="65" t="n"/>
      <c r="BN57" s="65" t="n"/>
      <c r="BO57" s="65" t="n"/>
      <c r="BP57" s="65" t="n"/>
      <c r="BQ57" s="65" t="n"/>
      <c r="BR57" s="65" t="n"/>
      <c r="BS57" s="65" t="n"/>
      <c r="BT57" s="65" t="n"/>
      <c r="BU57" s="65" t="n"/>
      <c r="BV57" s="65" t="n"/>
      <c r="BW57" s="65" t="n"/>
      <c r="BX57" s="65" t="n"/>
      <c r="BY57" s="65" t="n"/>
      <c r="BZ57" s="66" t="n"/>
      <c r="CA57" s="66" t="n"/>
    </row>
    <row r="58" ht="18" customHeight="1">
      <c r="A58" s="61" t="inlineStr">
        <is>
          <t>LiquidAI/LFM2.5-1.2B-Instruct</t>
        </is>
      </c>
      <c r="B58" s="62" t="inlineStr">
        <is>
          <t>Liquid AI</t>
        </is>
      </c>
      <c r="C58" s="62" t="inlineStr">
        <is>
          <t>LM Studio (GGUF)</t>
        </is>
      </c>
      <c r="D58" s="62" t="inlineStr">
        <is>
          <t>Q4_K_M</t>
        </is>
      </c>
      <c r="E58" s="62" t="inlineStr">
        <is>
          <t>1.2B</t>
        </is>
      </c>
      <c r="F58" s="62" t="inlineStr">
        <is>
          <t>128k</t>
        </is>
      </c>
      <c r="G58" s="63" t="n"/>
      <c r="H58" s="62" t="inlineStr">
        <is>
          <t>Untested</t>
        </is>
      </c>
      <c r="I58" s="64">
        <f>IFERROR((COUNTIF(K58:BY58,"✅")+0.5*COUNTIF(K58:BY58,"⚠️"))/(COUNTIF(K58:BY58,"✅")+COUNTIF(K58:BY58,"⚠️")+COUNTIF(K58:BY58,"❌")),"")</f>
        <v/>
      </c>
      <c r="J58" s="63">
        <f>COUNTIF(K58:BY58,"✅")+COUNTIF(K58:BY58,"⚠️")+COUNTIF(K58:BY58,"❌")+COUNTIF(K58:BY58,"➖")</f>
        <v/>
      </c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  <c r="AA58" s="65" t="n"/>
      <c r="AB58" s="65" t="n"/>
      <c r="AC58" s="65" t="n"/>
      <c r="AD58" s="65" t="n"/>
      <c r="AE58" s="65" t="n"/>
      <c r="AF58" s="65" t="n"/>
      <c r="AG58" s="65" t="n"/>
      <c r="AH58" s="65" t="n"/>
      <c r="AI58" s="65" t="n"/>
      <c r="AJ58" s="65" t="n"/>
      <c r="AK58" s="65" t="n"/>
      <c r="AL58" s="65" t="n"/>
      <c r="AM58" s="65" t="n"/>
      <c r="AN58" s="65" t="n"/>
      <c r="AO58" s="65" t="n"/>
      <c r="AP58" s="65" t="n"/>
      <c r="AQ58" s="65" t="n"/>
      <c r="AR58" s="65" t="n"/>
      <c r="AS58" s="65" t="n"/>
      <c r="AT58" s="65" t="n"/>
      <c r="AU58" s="65" t="n"/>
      <c r="AV58" s="65" t="n"/>
      <c r="AW58" s="65" t="n"/>
      <c r="AX58" s="65" t="n"/>
      <c r="AY58" s="65" t="n"/>
      <c r="AZ58" s="65" t="n"/>
      <c r="BA58" s="65" t="n"/>
      <c r="BB58" s="65" t="n"/>
      <c r="BC58" s="65" t="n"/>
      <c r="BD58" s="65" t="n"/>
      <c r="BE58" s="65" t="n"/>
      <c r="BF58" s="65" t="n"/>
      <c r="BG58" s="65" t="n"/>
      <c r="BH58" s="65" t="n"/>
      <c r="BI58" s="65" t="n"/>
      <c r="BJ58" s="65" t="n"/>
      <c r="BK58" s="65" t="n"/>
      <c r="BL58" s="65" t="n"/>
      <c r="BM58" s="65" t="n"/>
      <c r="BN58" s="65" t="n"/>
      <c r="BO58" s="65" t="n"/>
      <c r="BP58" s="65" t="n"/>
      <c r="BQ58" s="65" t="n"/>
      <c r="BR58" s="65" t="n"/>
      <c r="BS58" s="65" t="n"/>
      <c r="BT58" s="65" t="n"/>
      <c r="BU58" s="65" t="n"/>
      <c r="BV58" s="65" t="n"/>
      <c r="BW58" s="65" t="n"/>
      <c r="BX58" s="65" t="n"/>
      <c r="BY58" s="65" t="n"/>
      <c r="BZ58" s="66" t="n"/>
      <c r="CA58" s="66" t="n"/>
    </row>
  </sheetData>
  <autoFilter ref="A3:CA58"/>
  <mergeCells count="14">
    <mergeCell ref="U2:Z2"/>
    <mergeCell ref="AJ2:AL2"/>
    <mergeCell ref="AP2:AV2"/>
    <mergeCell ref="BG2:BI2"/>
    <mergeCell ref="AW2:BA2"/>
    <mergeCell ref="AB2:AC2"/>
    <mergeCell ref="BJ2:BR2"/>
    <mergeCell ref="BB2:BF2"/>
    <mergeCell ref="BZ2:CA2"/>
    <mergeCell ref="AD2:AH2"/>
    <mergeCell ref="A2:J2"/>
    <mergeCell ref="BS2:BY2"/>
    <mergeCell ref="K2:T2"/>
    <mergeCell ref="AM2:AO2"/>
  </mergeCells>
  <conditionalFormatting sqref="K5:BY58">
    <cfRule type="cellIs" priority="1" operator="equal" dxfId="0">
      <formula>"✅"</formula>
    </cfRule>
    <cfRule type="cellIs" priority="2" operator="equal" dxfId="1">
      <formula>"⚠️"</formula>
    </cfRule>
    <cfRule type="cellIs" priority="3" operator="equal" dxfId="2">
      <formula>"❌"</formula>
    </cfRule>
    <cfRule type="cellIs" priority="4" operator="equal" dxfId="3">
      <formula>"➖"</formula>
    </cfRule>
  </conditionalFormatting>
  <conditionalFormatting sqref="H5:H58">
    <cfRule type="cellIs" priority="5" operator="equal" dxfId="4">
      <formula>"Works"</formula>
    </cfRule>
    <cfRule type="cellIs" priority="6" operator="equal" dxfId="5">
      <formula>"Works with caveats"</formula>
    </cfRule>
    <cfRule type="cellIs" priority="7" operator="equal" dxfId="5">
      <formula>"Partial"</formula>
    </cfRule>
    <cfRule type="cellIs" priority="8" operator="equal" dxfId="6">
      <formula>"Unusable"</formula>
    </cfRule>
    <cfRule type="cellIs" priority="9" operator="equal" dxfId="7">
      <formula>"Untested"</formula>
    </cfRule>
  </conditionalFormatting>
  <dataValidations count="2">
    <dataValidation sqref="K4:BY58" showDropDown="0" showInputMessage="0" showErrorMessage="0" allowBlank="1" promptTitle="Result" prompt="✅ works  |  ⚠️ partial  |  ❌ broken  |  ➖ not applicable  |  blank = untested" type="list">
      <formula1>"✅,⚠️,❌,➖"</formula1>
    </dataValidation>
    <dataValidation sqref="H4:H58" showDropDown="0" showInputMessage="0" showErrorMessage="0" allowBlank="1" type="list">
      <formula1>"Works,Works with caveats,Partial,Unusable,Untested"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A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5" customWidth="1" min="2" max="2"/>
    <col width="20" customWidth="1" min="3" max="3"/>
    <col width="15" customWidth="1" min="4" max="4"/>
    <col width="10" customWidth="1" min="5" max="5"/>
    <col width="11" customWidth="1" min="6" max="6"/>
    <col width="13" customWidth="1" min="7" max="7"/>
    <col width="20" customWidth="1" min="8" max="8"/>
    <col width="9" customWidth="1" min="9" max="9"/>
    <col width="11" customWidth="1" min="10" max="10"/>
    <col width="4.8" customWidth="1" min="11" max="11"/>
    <col width="4.8" customWidth="1" min="12" max="12"/>
    <col width="4.8" customWidth="1" min="13" max="13"/>
    <col width="4.8" customWidth="1" min="14" max="14"/>
    <col width="4.8" customWidth="1" min="15" max="15"/>
    <col width="4.8" customWidth="1" min="16" max="16"/>
    <col width="4.8" customWidth="1" min="17" max="17"/>
    <col width="4.8" customWidth="1" min="18" max="18"/>
    <col width="4.8" customWidth="1" min="19" max="19"/>
    <col width="4.8" customWidth="1" min="20" max="20"/>
    <col width="4.8" customWidth="1" min="21" max="21"/>
    <col width="4.8" customWidth="1" min="22" max="22"/>
    <col width="4.8" customWidth="1" min="23" max="23"/>
    <col width="4.8" customWidth="1" min="24" max="24"/>
    <col width="4.8" customWidth="1" min="25" max="25"/>
    <col width="4.8" customWidth="1" min="26" max="26"/>
    <col width="4.8" customWidth="1" min="27" max="27"/>
    <col width="4.8" customWidth="1" min="28" max="28"/>
    <col width="4.8" customWidth="1" min="29" max="29"/>
    <col width="4.8" customWidth="1" min="30" max="30"/>
    <col width="4.8" customWidth="1" min="31" max="31"/>
    <col width="4.8" customWidth="1" min="32" max="32"/>
    <col width="4.8" customWidth="1" min="33" max="33"/>
    <col width="4.8" customWidth="1" min="34" max="34"/>
    <col width="4.8" customWidth="1" min="35" max="35"/>
    <col width="4.8" customWidth="1" min="36" max="36"/>
    <col width="4.8" customWidth="1" min="37" max="37"/>
    <col width="4.8" customWidth="1" min="38" max="38"/>
    <col width="4.8" customWidth="1" min="39" max="39"/>
    <col width="4.8" customWidth="1" min="40" max="40"/>
    <col width="4.8" customWidth="1" min="41" max="41"/>
    <col width="4.8" customWidth="1" min="42" max="42"/>
    <col width="4.8" customWidth="1" min="43" max="43"/>
    <col width="4.8" customWidth="1" min="44" max="44"/>
    <col width="4.8" customWidth="1" min="45" max="45"/>
    <col width="4.8" customWidth="1" min="46" max="46"/>
    <col width="4.8" customWidth="1" min="47" max="47"/>
    <col width="4.8" customWidth="1" min="48" max="48"/>
    <col width="4.8" customWidth="1" min="49" max="49"/>
    <col width="4.8" customWidth="1" min="50" max="50"/>
    <col width="4.8" customWidth="1" min="51" max="51"/>
    <col width="4.8" customWidth="1" min="52" max="52"/>
    <col width="4.8" customWidth="1" min="53" max="53"/>
    <col width="4.8" customWidth="1" min="54" max="54"/>
    <col width="4.8" customWidth="1" min="55" max="55"/>
    <col width="4.8" customWidth="1" min="56" max="56"/>
    <col width="4.8" customWidth="1" min="57" max="57"/>
    <col width="4.8" customWidth="1" min="58" max="58"/>
    <col width="4.8" customWidth="1" min="59" max="59"/>
    <col width="4.8" customWidth="1" min="60" max="60"/>
    <col width="4.8" customWidth="1" min="61" max="61"/>
    <col width="4.8" customWidth="1" min="62" max="62"/>
    <col width="4.8" customWidth="1" min="63" max="63"/>
    <col width="4.8" customWidth="1" min="64" max="64"/>
    <col width="4.8" customWidth="1" min="65" max="65"/>
    <col width="4.8" customWidth="1" min="66" max="66"/>
    <col width="4.8" customWidth="1" min="67" max="67"/>
    <col width="4.8" customWidth="1" min="68" max="68"/>
    <col width="4.8" customWidth="1" min="69" max="69"/>
    <col width="4.8" customWidth="1" min="70" max="70"/>
    <col width="4.8" customWidth="1" min="71" max="71"/>
    <col width="4.8" customWidth="1" min="72" max="72"/>
    <col width="4.8" customWidth="1" min="73" max="73"/>
    <col width="4.8" customWidth="1" min="74" max="74"/>
    <col width="4.8" customWidth="1" min="75" max="75"/>
    <col width="4.8" customWidth="1" min="76" max="76"/>
    <col width="4.8" customWidth="1" min="77" max="77"/>
    <col width="46" customWidth="1" min="78" max="78"/>
    <col width="60" customWidth="1" min="79" max="79"/>
  </cols>
  <sheetData>
    <row r="1" ht="24" customHeight="1">
      <c r="A1" s="11" t="inlineStr">
        <is>
          <t>Minnow model capability matrix - Minnow Hosting</t>
        </is>
      </c>
      <c r="D1" s="12" t="inlineStr">
        <is>
          <t>Minnow hosting - models Minnow serves itself (llama.cpp / MLX)</t>
        </is>
      </c>
    </row>
    <row r="2" ht="20" customHeight="1">
      <c r="A2" s="13" t="inlineStr">
        <is>
          <t>MODEL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5" t="inlineStr">
        <is>
          <t>CORE PROTOCOL</t>
        </is>
      </c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7" t="inlineStr">
        <is>
          <t>FILES</t>
        </is>
      </c>
      <c r="V2" s="18" t="n"/>
      <c r="W2" s="18" t="n"/>
      <c r="X2" s="18" t="n"/>
      <c r="Y2" s="18" t="n"/>
      <c r="Z2" s="18" t="n"/>
      <c r="AA2" s="19" t="inlineStr">
        <is>
          <t>DOCS</t>
        </is>
      </c>
      <c r="AB2" s="20" t="inlineStr">
        <is>
          <t>GIT</t>
        </is>
      </c>
      <c r="AC2" s="21" t="n"/>
      <c r="AD2" s="22" t="inlineStr">
        <is>
          <t>CODE &amp; SHELL</t>
        </is>
      </c>
      <c r="AE2" s="23" t="n"/>
      <c r="AF2" s="23" t="n"/>
      <c r="AG2" s="23" t="n"/>
      <c r="AH2" s="23" t="n"/>
      <c r="AI2" s="19" t="inlineStr">
        <is>
          <t>LSP</t>
        </is>
      </c>
      <c r="AJ2" s="24" t="inlineStr">
        <is>
          <t>WEB</t>
        </is>
      </c>
      <c r="AK2" s="25" t="n"/>
      <c r="AL2" s="25" t="n"/>
      <c r="AM2" s="26" t="inlineStr">
        <is>
          <t>BROWSER</t>
        </is>
      </c>
      <c r="AN2" s="27" t="n"/>
      <c r="AO2" s="27" t="n"/>
      <c r="AP2" s="28" t="inlineStr">
        <is>
          <t>AGENTS &amp; TASKS</t>
        </is>
      </c>
      <c r="AQ2" s="29" t="n"/>
      <c r="AR2" s="29" t="n"/>
      <c r="AS2" s="29" t="n"/>
      <c r="AT2" s="29" t="n"/>
      <c r="AU2" s="29" t="n"/>
      <c r="AV2" s="29" t="n"/>
      <c r="AW2" s="30" t="inlineStr">
        <is>
          <t>KNOWLEDGE</t>
        </is>
      </c>
      <c r="AX2" s="31" t="n"/>
      <c r="AY2" s="31" t="n"/>
      <c r="AZ2" s="31" t="n"/>
      <c r="BA2" s="31" t="n"/>
      <c r="BB2" s="32" t="inlineStr">
        <is>
          <t>APPS</t>
        </is>
      </c>
      <c r="BC2" s="33" t="n"/>
      <c r="BD2" s="33" t="n"/>
      <c r="BE2" s="33" t="n"/>
      <c r="BF2" s="33" t="n"/>
      <c r="BG2" s="34" t="inlineStr">
        <is>
          <t>MODE CONTROL</t>
        </is>
      </c>
      <c r="BH2" s="35" t="n"/>
      <c r="BI2" s="35" t="n"/>
      <c r="BJ2" s="36" t="inlineStr">
        <is>
          <t>MODES</t>
        </is>
      </c>
      <c r="BK2" s="37" t="n"/>
      <c r="BL2" s="37" t="n"/>
      <c r="BM2" s="37" t="n"/>
      <c r="BN2" s="37" t="n"/>
      <c r="BO2" s="37" t="n"/>
      <c r="BP2" s="37" t="n"/>
      <c r="BQ2" s="37" t="n"/>
      <c r="BR2" s="37" t="n"/>
      <c r="BS2" s="38" t="inlineStr">
        <is>
          <t>FEATURES</t>
        </is>
      </c>
      <c r="BT2" s="39" t="n"/>
      <c r="BU2" s="39" t="n"/>
      <c r="BV2" s="39" t="n"/>
      <c r="BW2" s="39" t="n"/>
      <c r="BX2" s="39" t="n"/>
      <c r="BY2" s="39" t="n"/>
      <c r="BZ2" s="40" t="inlineStr">
        <is>
          <t>FINDINGS</t>
        </is>
      </c>
      <c r="CA2" s="14" t="n"/>
    </row>
    <row r="3" ht="190" customHeight="1">
      <c r="A3" s="41" t="inlineStr">
        <is>
          <t>Model</t>
        </is>
      </c>
      <c r="B3" s="41" t="inlineStr">
        <is>
          <t>Producer</t>
        </is>
      </c>
      <c r="C3" s="41" t="inlineStr">
        <is>
          <t>Provider / Host</t>
        </is>
      </c>
      <c r="D3" s="41" t="inlineStr">
        <is>
          <t>Quantization</t>
        </is>
      </c>
      <c r="E3" s="41" t="inlineStr">
        <is>
          <t>Params</t>
        </is>
      </c>
      <c r="F3" s="41" t="inlineStr">
        <is>
          <t>Context</t>
        </is>
      </c>
      <c r="G3" s="41" t="inlineStr">
        <is>
          <t>Date tested</t>
        </is>
      </c>
      <c r="H3" s="41" t="inlineStr">
        <is>
          <t>Verdict</t>
        </is>
      </c>
      <c r="I3" s="41" t="inlineStr">
        <is>
          <t>Score</t>
        </is>
      </c>
      <c r="J3" s="41" t="inlineStr">
        <is>
          <t>Tested (n)</t>
        </is>
      </c>
      <c r="K3" s="42" t="inlineStr">
        <is>
          <t>Streaming</t>
        </is>
      </c>
      <c r="L3" s="42" t="inlineStr">
        <is>
          <t>Tool calling (basic)</t>
        </is>
      </c>
      <c r="M3" s="42" t="inlineStr">
        <is>
          <t>Parallel tool calls</t>
        </is>
      </c>
      <c r="N3" s="42" t="inlineStr">
        <is>
          <t>Multi-step tool loop</t>
        </is>
      </c>
      <c r="O3" s="42" t="inlineStr">
        <is>
          <t>Valid JSON args</t>
        </is>
      </c>
      <c r="P3" s="42" t="inlineStr">
        <is>
          <t>No hallucinated tools</t>
        </is>
      </c>
      <c r="Q3" s="42" t="inlineStr">
        <is>
          <t>System prompt adherence</t>
        </is>
      </c>
      <c r="R3" s="42" t="inlineStr">
        <is>
          <t>Long context &gt;32k</t>
        </is>
      </c>
      <c r="S3" s="42" t="inlineStr">
        <is>
          <t>Vision / image input</t>
        </is>
      </c>
      <c r="T3" s="42" t="inlineStr">
        <is>
          <t>Reasoning / thinking</t>
        </is>
      </c>
      <c r="U3" s="43" t="inlineStr">
        <is>
          <t>list_directory / read_file</t>
        </is>
      </c>
      <c r="V3" s="43" t="inlineStr">
        <is>
          <t>read_document</t>
        </is>
      </c>
      <c r="W3" s="43" t="inlineStr">
        <is>
          <t>save_file / append_file</t>
        </is>
      </c>
      <c r="X3" s="43" t="inlineStr">
        <is>
          <t>replace_text_in_file</t>
        </is>
      </c>
      <c r="Y3" s="43" t="inlineStr">
        <is>
          <t>insert_at_line / read_file_range</t>
        </is>
      </c>
      <c r="Z3" s="43" t="inlineStr">
        <is>
          <t>grep / find_files</t>
        </is>
      </c>
      <c r="AA3" s="44" t="inlineStr">
        <is>
          <t>create_pdf / spreadsheet / word</t>
        </is>
      </c>
      <c r="AB3" s="45" t="inlineStr">
        <is>
          <t>git_status / diff / log (read)</t>
        </is>
      </c>
      <c r="AC3" s="45" t="inlineStr">
        <is>
          <t>git_add / commit / branch (write)</t>
        </is>
      </c>
      <c r="AD3" s="46" t="inlineStr">
        <is>
          <t>execute_command</t>
        </is>
      </c>
      <c r="AE3" s="46" t="inlineStr">
        <is>
          <t>Background cmds / dev servers</t>
        </is>
      </c>
      <c r="AF3" s="46" t="inlineStr">
        <is>
          <t>run_javascript / run_python</t>
        </is>
      </c>
      <c r="AG3" s="46" t="inlineStr">
        <is>
          <t>read_command_log / stop_command</t>
        </is>
      </c>
      <c r="AH3" s="46" t="inlineStr">
        <is>
          <t>Code intel (repo_map, find_symbol)</t>
        </is>
      </c>
      <c r="AI3" s="44" t="inlineStr">
        <is>
          <t>get_lsp_diagnostics / list_lsp_servers</t>
        </is>
      </c>
      <c r="AJ3" s="47" t="inlineStr">
        <is>
          <t>web_search</t>
        </is>
      </c>
      <c r="AK3" s="47" t="inlineStr">
        <is>
          <t>fetch_web_content / rag_web_content</t>
        </is>
      </c>
      <c r="AL3" s="47" t="inlineStr">
        <is>
          <t>wikipedia_search</t>
        </is>
      </c>
      <c r="AM3" s="48" t="inlineStr">
        <is>
          <t>navigate / tabs</t>
        </is>
      </c>
      <c r="AN3" s="48" t="inlineStr">
        <is>
          <t>snapshot / click / fill</t>
        </is>
      </c>
      <c r="AO3" s="48" t="inlineStr">
        <is>
          <t>eval / screenshot</t>
        </is>
      </c>
      <c r="AP3" s="49" t="inlineStr">
        <is>
          <t>todo_write</t>
        </is>
      </c>
      <c r="AQ3" s="49" t="inlineStr">
        <is>
          <t>spawn_sub_agent</t>
        </is>
      </c>
      <c r="AR3" s="49" t="inlineStr">
        <is>
          <t>list / get / cancel sub-agents</t>
        </is>
      </c>
      <c r="AS3" s="49" t="inlineStr">
        <is>
          <t>delegate_tasks</t>
        </is>
      </c>
      <c r="AT3" s="49" t="inlineStr">
        <is>
          <t>board_init / board_update_task</t>
        </is>
      </c>
      <c r="AU3" s="49" t="inlineStr">
        <is>
          <t>board_report / board_get_state</t>
        </is>
      </c>
      <c r="AV3" s="49" t="inlineStr">
        <is>
          <t>issue_* tools</t>
        </is>
      </c>
      <c r="AW3" s="50" t="inlineStr">
        <is>
          <t>brain_search / read_page / list</t>
        </is>
      </c>
      <c r="AX3" s="50" t="inlineStr">
        <is>
          <t>brain_write_page / append_log / ingest</t>
        </is>
      </c>
      <c r="AY3" s="50" t="inlineStr">
        <is>
          <t>minnow_docs_*</t>
        </is>
      </c>
      <c r="AZ3" s="50" t="inlineStr">
        <is>
          <t>save_memory</t>
        </is>
      </c>
      <c r="BA3" s="50" t="inlineStr">
        <is>
          <t>recall_chat_context / recall_turn_full</t>
        </is>
      </c>
      <c r="BB3" s="51" t="inlineStr">
        <is>
          <t>Email: list / search / get_thread</t>
        </is>
      </c>
      <c r="BC3" s="51" t="inlineStr">
        <is>
          <t>Email: draft_reply / email_action</t>
        </is>
      </c>
      <c r="BD3" s="51" t="inlineStr">
        <is>
          <t>summarize_inbox / reply_variants</t>
        </is>
      </c>
      <c r="BE3" s="51" t="inlineStr">
        <is>
          <t>manage_calendar</t>
        </is>
      </c>
      <c r="BF3" s="51" t="inlineStr">
        <is>
          <t>Settings &amp; appearance tools</t>
        </is>
      </c>
      <c r="BG3" s="52" t="inlineStr">
        <is>
          <t>set_chat_mode / propose_mode_switch</t>
        </is>
      </c>
      <c r="BH3" s="52" t="inlineStr">
        <is>
          <t>create_chat_with_mode / launch app</t>
        </is>
      </c>
      <c r="BI3" s="52" t="inlineStr">
        <is>
          <t>Impeccable / aesthetics</t>
        </is>
      </c>
      <c r="BJ3" s="53" t="inlineStr">
        <is>
          <t>General</t>
        </is>
      </c>
      <c r="BK3" s="53" t="inlineStr">
        <is>
          <t>Build</t>
        </is>
      </c>
      <c r="BL3" s="53" t="inlineStr">
        <is>
          <t>Plan</t>
        </is>
      </c>
      <c r="BM3" s="53" t="inlineStr">
        <is>
          <t>Super Plan</t>
        </is>
      </c>
      <c r="BN3" s="53" t="inlineStr">
        <is>
          <t>Orchestrate</t>
        </is>
      </c>
      <c r="BO3" s="53" t="inlineStr">
        <is>
          <t>Debug</t>
        </is>
      </c>
      <c r="BP3" s="53" t="inlineStr">
        <is>
          <t>Desktop</t>
        </is>
      </c>
      <c r="BQ3" s="53" t="inlineStr">
        <is>
          <t>Email</t>
        </is>
      </c>
      <c r="BR3" s="53" t="inlineStr">
        <is>
          <t>Onboarding</t>
        </is>
      </c>
      <c r="BS3" s="54" t="inlineStr">
        <is>
          <t>Research</t>
        </is>
      </c>
      <c r="BT3" s="54" t="inlineStr">
        <is>
          <t>Compare</t>
        </is>
      </c>
      <c r="BU3" s="54" t="inlineStr">
        <is>
          <t>Chat title generation</t>
        </is>
      </c>
      <c r="BV3" s="54" t="inlineStr">
        <is>
          <t>Skills / plugins</t>
        </is>
      </c>
      <c r="BW3" s="54" t="inlineStr">
        <is>
          <t>MCP servers</t>
        </is>
      </c>
      <c r="BX3" s="54" t="inlineStr">
        <is>
          <t>Voice</t>
        </is>
      </c>
      <c r="BY3" s="54" t="inlineStr">
        <is>
          <t>Markdown &amp; code fences</t>
        </is>
      </c>
      <c r="BZ3" s="41" t="inlineStr">
        <is>
          <t>Blocking issues</t>
        </is>
      </c>
      <c r="CA3" s="41" t="inlineStr">
        <is>
          <t>Notes</t>
        </is>
      </c>
    </row>
    <row r="4" ht="18" customHeight="1">
      <c r="A4" s="55" t="inlineStr">
        <is>
          <t>EXAMPLE - Qwen/Qwen3-8B</t>
        </is>
      </c>
      <c r="B4" s="56" t="inlineStr">
        <is>
          <t>Qwen</t>
        </is>
      </c>
      <c r="C4" s="56" t="inlineStr">
        <is>
          <t>llama.cpp</t>
        </is>
      </c>
      <c r="D4" s="56" t="inlineStr">
        <is>
          <t>Q4_K_M</t>
        </is>
      </c>
      <c r="E4" s="56" t="inlineStr">
        <is>
          <t>8.2B</t>
        </is>
      </c>
      <c r="F4" s="56" t="inlineStr">
        <is>
          <t>41k</t>
        </is>
      </c>
      <c r="G4" s="57" t="inlineStr">
        <is>
          <t>2026-08-10</t>
        </is>
      </c>
      <c r="H4" s="56" t="inlineStr">
        <is>
          <t>Partial</t>
        </is>
      </c>
      <c r="I4" s="58">
        <f>IFERROR((COUNTIF(K4:BY4,"✅")+0.5*COUNTIF(K4:BY4,"⚠️"))/(COUNTIF(K4:BY4,"✅")+COUNTIF(K4:BY4,"⚠️")+COUNTIF(K4:BY4,"❌")),"")</f>
        <v/>
      </c>
      <c r="J4" s="57">
        <f>COUNTIF(K4:BY4,"✅")+COUNTIF(K4:BY4,"⚠️")+COUNTIF(K4:BY4,"❌")+COUNTIF(K4:BY4,"➖")</f>
        <v/>
      </c>
      <c r="K4" s="59" t="inlineStr">
        <is>
          <t>✅</t>
        </is>
      </c>
      <c r="L4" s="59" t="inlineStr">
        <is>
          <t>✅</t>
        </is>
      </c>
      <c r="M4" s="59" t="inlineStr">
        <is>
          <t>✅</t>
        </is>
      </c>
      <c r="N4" s="59" t="inlineStr">
        <is>
          <t>❌</t>
        </is>
      </c>
      <c r="O4" s="59" t="inlineStr">
        <is>
          <t>✅</t>
        </is>
      </c>
      <c r="P4" s="59" t="inlineStr">
        <is>
          <t>⚠️</t>
        </is>
      </c>
      <c r="Q4" s="59" t="inlineStr">
        <is>
          <t>✅</t>
        </is>
      </c>
      <c r="R4" s="59" t="inlineStr">
        <is>
          <t>➖</t>
        </is>
      </c>
      <c r="S4" s="59" t="n"/>
      <c r="T4" s="59" t="n"/>
      <c r="U4" s="59" t="n"/>
      <c r="V4" s="59" t="n"/>
      <c r="W4" s="59" t="n"/>
      <c r="X4" s="59" t="n"/>
      <c r="Y4" s="59" t="n"/>
      <c r="Z4" s="59" t="n"/>
      <c r="AA4" s="59" t="n"/>
      <c r="AB4" s="59" t="n"/>
      <c r="AC4" s="59" t="n"/>
      <c r="AD4" s="59" t="n"/>
      <c r="AE4" s="59" t="n"/>
      <c r="AF4" s="59" t="n"/>
      <c r="AG4" s="59" t="n"/>
      <c r="AH4" s="59" t="n"/>
      <c r="AI4" s="59" t="n"/>
      <c r="AJ4" s="59" t="n"/>
      <c r="AK4" s="59" t="n"/>
      <c r="AL4" s="59" t="n"/>
      <c r="AM4" s="59" t="n"/>
      <c r="AN4" s="59" t="n"/>
      <c r="AO4" s="59" t="n"/>
      <c r="AP4" s="59" t="n"/>
      <c r="AQ4" s="59" t="n"/>
      <c r="AR4" s="59" t="n"/>
      <c r="AS4" s="59" t="n"/>
      <c r="AT4" s="59" t="n"/>
      <c r="AU4" s="59" t="n"/>
      <c r="AV4" s="59" t="n"/>
      <c r="AW4" s="59" t="n"/>
      <c r="AX4" s="59" t="n"/>
      <c r="AY4" s="59" t="n"/>
      <c r="AZ4" s="59" t="n"/>
      <c r="BA4" s="59" t="n"/>
      <c r="BB4" s="59" t="n"/>
      <c r="BC4" s="59" t="n"/>
      <c r="BD4" s="59" t="n"/>
      <c r="BE4" s="59" t="n"/>
      <c r="BF4" s="59" t="n"/>
      <c r="BG4" s="59" t="n"/>
      <c r="BH4" s="59" t="n"/>
      <c r="BI4" s="59" t="n"/>
      <c r="BJ4" s="59" t="n"/>
      <c r="BK4" s="59" t="n"/>
      <c r="BL4" s="59" t="n"/>
      <c r="BM4" s="59" t="n"/>
      <c r="BN4" s="59" t="n"/>
      <c r="BO4" s="59" t="n"/>
      <c r="BP4" s="59" t="n"/>
      <c r="BQ4" s="59" t="n"/>
      <c r="BR4" s="59" t="n"/>
      <c r="BS4" s="59" t="n"/>
      <c r="BT4" s="59" t="n"/>
      <c r="BU4" s="59" t="n"/>
      <c r="BV4" s="59" t="n"/>
      <c r="BW4" s="59" t="n"/>
      <c r="BX4" s="59" t="n"/>
      <c r="BY4" s="59" t="n"/>
      <c r="BZ4" s="60" t="n"/>
      <c r="CA4" s="60" t="inlineStr">
        <is>
          <t>Fine for chat, not for Build. replace_text_in_file misses whitespace.</t>
        </is>
      </c>
    </row>
    <row r="5" ht="18" customHeight="1">
      <c r="A5" s="61" t="inlineStr">
        <is>
          <t>Qwen/Qwen3-Coder-30B-A3B-Instruct</t>
        </is>
      </c>
      <c r="B5" s="62" t="inlineStr">
        <is>
          <t>Qwen</t>
        </is>
      </c>
      <c r="C5" s="62" t="inlineStr">
        <is>
          <t>llama.cpp</t>
        </is>
      </c>
      <c r="D5" s="62" t="inlineStr">
        <is>
          <t>Q4_K_M</t>
        </is>
      </c>
      <c r="E5" s="62" t="inlineStr">
        <is>
          <t>30.5B</t>
        </is>
      </c>
      <c r="F5" s="62" t="inlineStr">
        <is>
          <t>262k</t>
        </is>
      </c>
      <c r="G5" s="63" t="n"/>
      <c r="H5" s="62" t="inlineStr">
        <is>
          <t>Untested</t>
        </is>
      </c>
      <c r="I5" s="64">
        <f>IFERROR((COUNTIF(K5:BY5,"✅")+0.5*COUNTIF(K5:BY5,"⚠️"))/(COUNTIF(K5:BY5,"✅")+COUNTIF(K5:BY5,"⚠️")+COUNTIF(K5:BY5,"❌")),"")</f>
        <v/>
      </c>
      <c r="J5" s="63">
        <f>COUNTIF(K5:BY5,"✅")+COUNTIF(K5:BY5,"⚠️")+COUNTIF(K5:BY5,"❌")+COUNTIF(K5:BY5,"➖")</f>
        <v/>
      </c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5" t="n"/>
      <c r="AI5" s="65" t="n"/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5" t="n"/>
      <c r="AV5" s="65" t="n"/>
      <c r="AW5" s="65" t="n"/>
      <c r="AX5" s="65" t="n"/>
      <c r="AY5" s="65" t="n"/>
      <c r="AZ5" s="65" t="n"/>
      <c r="BA5" s="65" t="n"/>
      <c r="BB5" s="65" t="n"/>
      <c r="BC5" s="65" t="n"/>
      <c r="BD5" s="65" t="n"/>
      <c r="BE5" s="65" t="n"/>
      <c r="BF5" s="65" t="n"/>
      <c r="BG5" s="65" t="n"/>
      <c r="BH5" s="65" t="n"/>
      <c r="BI5" s="65" t="n"/>
      <c r="BJ5" s="65" t="n"/>
      <c r="BK5" s="65" t="n"/>
      <c r="BL5" s="65" t="n"/>
      <c r="BM5" s="65" t="n"/>
      <c r="BN5" s="65" t="n"/>
      <c r="BO5" s="65" t="n"/>
      <c r="BP5" s="65" t="n"/>
      <c r="BQ5" s="65" t="n"/>
      <c r="BR5" s="65" t="n"/>
      <c r="BS5" s="65" t="n"/>
      <c r="BT5" s="65" t="n"/>
      <c r="BU5" s="65" t="n"/>
      <c r="BV5" s="65" t="n"/>
      <c r="BW5" s="65" t="n"/>
      <c r="BX5" s="65" t="n"/>
      <c r="BY5" s="65" t="n"/>
      <c r="BZ5" s="66" t="n"/>
      <c r="CA5" s="66" t="n"/>
    </row>
    <row r="6" ht="18" customHeight="1">
      <c r="A6" s="61" t="inlineStr">
        <is>
          <t>Qwen/Qwen3-Coder-30B-A3B-Instruct</t>
        </is>
      </c>
      <c r="B6" s="62" t="inlineStr">
        <is>
          <t>Qwen</t>
        </is>
      </c>
      <c r="C6" s="62" t="inlineStr">
        <is>
          <t>llama.cpp</t>
        </is>
      </c>
      <c r="D6" s="62" t="inlineStr">
        <is>
          <t>Q6_K</t>
        </is>
      </c>
      <c r="E6" s="62" t="inlineStr">
        <is>
          <t>30.5B</t>
        </is>
      </c>
      <c r="F6" s="62" t="inlineStr">
        <is>
          <t>262k</t>
        </is>
      </c>
      <c r="G6" s="63" t="n"/>
      <c r="H6" s="62" t="inlineStr">
        <is>
          <t>Untested</t>
        </is>
      </c>
      <c r="I6" s="64">
        <f>IFERROR((COUNTIF(K6:BY6,"✅")+0.5*COUNTIF(K6:BY6,"⚠️"))/(COUNTIF(K6:BY6,"✅")+COUNTIF(K6:BY6,"⚠️")+COUNTIF(K6:BY6,"❌")),"")</f>
        <v/>
      </c>
      <c r="J6" s="63">
        <f>COUNTIF(K6:BY6,"✅")+COUNTIF(K6:BY6,"⚠️")+COUNTIF(K6:BY6,"❌")+COUNTIF(K6:BY6,"➖")</f>
        <v/>
      </c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  <c r="AF6" s="65" t="n"/>
      <c r="AG6" s="65" t="n"/>
      <c r="AH6" s="65" t="n"/>
      <c r="AI6" s="65" t="n"/>
      <c r="AJ6" s="65" t="n"/>
      <c r="AK6" s="65" t="n"/>
      <c r="AL6" s="65" t="n"/>
      <c r="AM6" s="65" t="n"/>
      <c r="AN6" s="65" t="n"/>
      <c r="AO6" s="65" t="n"/>
      <c r="AP6" s="65" t="n"/>
      <c r="AQ6" s="65" t="n"/>
      <c r="AR6" s="65" t="n"/>
      <c r="AS6" s="65" t="n"/>
      <c r="AT6" s="65" t="n"/>
      <c r="AU6" s="65" t="n"/>
      <c r="AV6" s="65" t="n"/>
      <c r="AW6" s="65" t="n"/>
      <c r="AX6" s="65" t="n"/>
      <c r="AY6" s="65" t="n"/>
      <c r="AZ6" s="65" t="n"/>
      <c r="BA6" s="65" t="n"/>
      <c r="BB6" s="65" t="n"/>
      <c r="BC6" s="65" t="n"/>
      <c r="BD6" s="65" t="n"/>
      <c r="BE6" s="65" t="n"/>
      <c r="BF6" s="65" t="n"/>
      <c r="BG6" s="65" t="n"/>
      <c r="BH6" s="65" t="n"/>
      <c r="BI6" s="65" t="n"/>
      <c r="BJ6" s="65" t="n"/>
      <c r="BK6" s="65" t="n"/>
      <c r="BL6" s="65" t="n"/>
      <c r="BM6" s="65" t="n"/>
      <c r="BN6" s="65" t="n"/>
      <c r="BO6" s="65" t="n"/>
      <c r="BP6" s="65" t="n"/>
      <c r="BQ6" s="65" t="n"/>
      <c r="BR6" s="65" t="n"/>
      <c r="BS6" s="65" t="n"/>
      <c r="BT6" s="65" t="n"/>
      <c r="BU6" s="65" t="n"/>
      <c r="BV6" s="65" t="n"/>
      <c r="BW6" s="65" t="n"/>
      <c r="BX6" s="65" t="n"/>
      <c r="BY6" s="65" t="n"/>
      <c r="BZ6" s="66" t="n"/>
      <c r="CA6" s="66" t="n"/>
    </row>
    <row r="7" ht="18" customHeight="1">
      <c r="A7" s="61" t="inlineStr">
        <is>
          <t>Qwen/Qwen3-Coder-30B-A3B-Instruct</t>
        </is>
      </c>
      <c r="B7" s="62" t="inlineStr">
        <is>
          <t>Qwen</t>
        </is>
      </c>
      <c r="C7" s="62" t="inlineStr">
        <is>
          <t>llama.cpp</t>
        </is>
      </c>
      <c r="D7" s="62" t="inlineStr">
        <is>
          <t>Q8_0</t>
        </is>
      </c>
      <c r="E7" s="62" t="inlineStr">
        <is>
          <t>30.5B</t>
        </is>
      </c>
      <c r="F7" s="62" t="inlineStr">
        <is>
          <t>262k</t>
        </is>
      </c>
      <c r="G7" s="63" t="n"/>
      <c r="H7" s="62" t="inlineStr">
        <is>
          <t>Untested</t>
        </is>
      </c>
      <c r="I7" s="64">
        <f>IFERROR((COUNTIF(K7:BY7,"✅")+0.5*COUNTIF(K7:BY7,"⚠️"))/(COUNTIF(K7:BY7,"✅")+COUNTIF(K7:BY7,"⚠️")+COUNTIF(K7:BY7,"❌")),"")</f>
        <v/>
      </c>
      <c r="J7" s="63">
        <f>COUNTIF(K7:BY7,"✅")+COUNTIF(K7:BY7,"⚠️")+COUNTIF(K7:BY7,"❌")+COUNTIF(K7:BY7,"➖")</f>
        <v/>
      </c>
      <c r="K7" s="65" t="n"/>
      <c r="L7" s="65" t="n"/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5" t="n"/>
      <c r="AI7" s="65" t="n"/>
      <c r="AJ7" s="65" t="n"/>
      <c r="AK7" s="65" t="n"/>
      <c r="AL7" s="65" t="n"/>
      <c r="AM7" s="65" t="n"/>
      <c r="AN7" s="65" t="n"/>
      <c r="AO7" s="65" t="n"/>
      <c r="AP7" s="65" t="n"/>
      <c r="AQ7" s="65" t="n"/>
      <c r="AR7" s="65" t="n"/>
      <c r="AS7" s="65" t="n"/>
      <c r="AT7" s="65" t="n"/>
      <c r="AU7" s="65" t="n"/>
      <c r="AV7" s="65" t="n"/>
      <c r="AW7" s="65" t="n"/>
      <c r="AX7" s="65" t="n"/>
      <c r="AY7" s="65" t="n"/>
      <c r="AZ7" s="65" t="n"/>
      <c r="BA7" s="65" t="n"/>
      <c r="BB7" s="65" t="n"/>
      <c r="BC7" s="65" t="n"/>
      <c r="BD7" s="65" t="n"/>
      <c r="BE7" s="65" t="n"/>
      <c r="BF7" s="65" t="n"/>
      <c r="BG7" s="65" t="n"/>
      <c r="BH7" s="65" t="n"/>
      <c r="BI7" s="65" t="n"/>
      <c r="BJ7" s="65" t="n"/>
      <c r="BK7" s="65" t="n"/>
      <c r="BL7" s="65" t="n"/>
      <c r="BM7" s="65" t="n"/>
      <c r="BN7" s="65" t="n"/>
      <c r="BO7" s="65" t="n"/>
      <c r="BP7" s="65" t="n"/>
      <c r="BQ7" s="65" t="n"/>
      <c r="BR7" s="65" t="n"/>
      <c r="BS7" s="65" t="n"/>
      <c r="BT7" s="65" t="n"/>
      <c r="BU7" s="65" t="n"/>
      <c r="BV7" s="65" t="n"/>
      <c r="BW7" s="65" t="n"/>
      <c r="BX7" s="65" t="n"/>
      <c r="BY7" s="65" t="n"/>
      <c r="BZ7" s="66" t="n"/>
      <c r="CA7" s="66" t="n"/>
    </row>
    <row r="8" ht="18" customHeight="1">
      <c r="A8" s="61" t="inlineStr">
        <is>
          <t>Qwen/Qwen3-Coder-30B-A3B-Instruct</t>
        </is>
      </c>
      <c r="B8" s="62" t="inlineStr">
        <is>
          <t>Qwen</t>
        </is>
      </c>
      <c r="C8" s="62" t="inlineStr">
        <is>
          <t>MLX</t>
        </is>
      </c>
      <c r="D8" s="62" t="inlineStr">
        <is>
          <t>MLX-4bit</t>
        </is>
      </c>
      <c r="E8" s="62" t="inlineStr">
        <is>
          <t>30.5B</t>
        </is>
      </c>
      <c r="F8" s="62" t="inlineStr">
        <is>
          <t>262k</t>
        </is>
      </c>
      <c r="G8" s="63" t="n"/>
      <c r="H8" s="62" t="inlineStr">
        <is>
          <t>Untested</t>
        </is>
      </c>
      <c r="I8" s="64">
        <f>IFERROR((COUNTIF(K8:BY8,"✅")+0.5*COUNTIF(K8:BY8,"⚠️"))/(COUNTIF(K8:BY8,"✅")+COUNTIF(K8:BY8,"⚠️")+COUNTIF(K8:BY8,"❌")),"")</f>
        <v/>
      </c>
      <c r="J8" s="63">
        <f>COUNTIF(K8:BY8,"✅")+COUNTIF(K8:BY8,"⚠️")+COUNTIF(K8:BY8,"❌")+COUNTIF(K8:BY8,"➖")</f>
        <v/>
      </c>
      <c r="K8" s="65" t="n"/>
      <c r="L8" s="65" t="n"/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  <c r="BL8" s="65" t="n"/>
      <c r="BM8" s="65" t="n"/>
      <c r="BN8" s="65" t="n"/>
      <c r="BO8" s="65" t="n"/>
      <c r="BP8" s="65" t="n"/>
      <c r="BQ8" s="65" t="n"/>
      <c r="BR8" s="65" t="n"/>
      <c r="BS8" s="65" t="n"/>
      <c r="BT8" s="65" t="n"/>
      <c r="BU8" s="65" t="n"/>
      <c r="BV8" s="65" t="n"/>
      <c r="BW8" s="65" t="n"/>
      <c r="BX8" s="65" t="n"/>
      <c r="BY8" s="65" t="n"/>
      <c r="BZ8" s="66" t="n"/>
      <c r="CA8" s="66" t="n"/>
    </row>
    <row r="9" ht="18" customHeight="1">
      <c r="A9" s="61" t="inlineStr">
        <is>
          <t>Qwen/Qwen3-30B-A3B-Instruct-2507</t>
        </is>
      </c>
      <c r="B9" s="62" t="inlineStr">
        <is>
          <t>Qwen</t>
        </is>
      </c>
      <c r="C9" s="62" t="inlineStr">
        <is>
          <t>llama.cpp</t>
        </is>
      </c>
      <c r="D9" s="62" t="inlineStr">
        <is>
          <t>Q4_K_M</t>
        </is>
      </c>
      <c r="E9" s="62" t="inlineStr">
        <is>
          <t>30.5B</t>
        </is>
      </c>
      <c r="F9" s="62" t="inlineStr">
        <is>
          <t>262k</t>
        </is>
      </c>
      <c r="G9" s="63" t="n"/>
      <c r="H9" s="62" t="inlineStr">
        <is>
          <t>Untested</t>
        </is>
      </c>
      <c r="I9" s="64">
        <f>IFERROR((COUNTIF(K9:BY9,"✅")+0.5*COUNTIF(K9:BY9,"⚠️"))/(COUNTIF(K9:BY9,"✅")+COUNTIF(K9:BY9,"⚠️")+COUNTIF(K9:BY9,"❌")),"")</f>
        <v/>
      </c>
      <c r="J9" s="63">
        <f>COUNTIF(K9:BY9,"✅")+COUNTIF(K9:BY9,"⚠️")+COUNTIF(K9:BY9,"❌")+COUNTIF(K9:BY9,"➖")</f>
        <v/>
      </c>
      <c r="K9" s="65" t="n"/>
      <c r="L9" s="65" t="n"/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  <c r="AF9" s="65" t="n"/>
      <c r="AG9" s="65" t="n"/>
      <c r="AH9" s="65" t="n"/>
      <c r="AI9" s="65" t="n"/>
      <c r="AJ9" s="65" t="n"/>
      <c r="AK9" s="65" t="n"/>
      <c r="AL9" s="65" t="n"/>
      <c r="AM9" s="65" t="n"/>
      <c r="AN9" s="65" t="n"/>
      <c r="AO9" s="65" t="n"/>
      <c r="AP9" s="65" t="n"/>
      <c r="AQ9" s="65" t="n"/>
      <c r="AR9" s="65" t="n"/>
      <c r="AS9" s="65" t="n"/>
      <c r="AT9" s="65" t="n"/>
      <c r="AU9" s="65" t="n"/>
      <c r="AV9" s="65" t="n"/>
      <c r="AW9" s="65" t="n"/>
      <c r="AX9" s="65" t="n"/>
      <c r="AY9" s="65" t="n"/>
      <c r="AZ9" s="65" t="n"/>
      <c r="BA9" s="65" t="n"/>
      <c r="BB9" s="65" t="n"/>
      <c r="BC9" s="65" t="n"/>
      <c r="BD9" s="65" t="n"/>
      <c r="BE9" s="65" t="n"/>
      <c r="BF9" s="65" t="n"/>
      <c r="BG9" s="65" t="n"/>
      <c r="BH9" s="65" t="n"/>
      <c r="BI9" s="65" t="n"/>
      <c r="BJ9" s="65" t="n"/>
      <c r="BK9" s="65" t="n"/>
      <c r="BL9" s="65" t="n"/>
      <c r="BM9" s="65" t="n"/>
      <c r="BN9" s="65" t="n"/>
      <c r="BO9" s="65" t="n"/>
      <c r="BP9" s="65" t="n"/>
      <c r="BQ9" s="65" t="n"/>
      <c r="BR9" s="65" t="n"/>
      <c r="BS9" s="65" t="n"/>
      <c r="BT9" s="65" t="n"/>
      <c r="BU9" s="65" t="n"/>
      <c r="BV9" s="65" t="n"/>
      <c r="BW9" s="65" t="n"/>
      <c r="BX9" s="65" t="n"/>
      <c r="BY9" s="65" t="n"/>
      <c r="BZ9" s="66" t="n"/>
      <c r="CA9" s="66" t="n"/>
    </row>
    <row r="10" ht="18" customHeight="1">
      <c r="A10" s="61" t="inlineStr">
        <is>
          <t>Qwen/Qwen3-30B-A3B-Instruct-2507</t>
        </is>
      </c>
      <c r="B10" s="62" t="inlineStr">
        <is>
          <t>Qwen</t>
        </is>
      </c>
      <c r="C10" s="62" t="inlineStr">
        <is>
          <t>llama.cpp</t>
        </is>
      </c>
      <c r="D10" s="62" t="inlineStr">
        <is>
          <t>Q8_0</t>
        </is>
      </c>
      <c r="E10" s="62" t="inlineStr">
        <is>
          <t>30.5B</t>
        </is>
      </c>
      <c r="F10" s="62" t="inlineStr">
        <is>
          <t>262k</t>
        </is>
      </c>
      <c r="G10" s="63" t="n"/>
      <c r="H10" s="62" t="inlineStr">
        <is>
          <t>Untested</t>
        </is>
      </c>
      <c r="I10" s="64">
        <f>IFERROR((COUNTIF(K10:BY10,"✅")+0.5*COUNTIF(K10:BY10,"⚠️"))/(COUNTIF(K10:BY10,"✅")+COUNTIF(K10:BY10,"⚠️")+COUNTIF(K10:BY10,"❌")),"")</f>
        <v/>
      </c>
      <c r="J10" s="63">
        <f>COUNTIF(K10:BY10,"✅")+COUNTIF(K10:BY10,"⚠️")+COUNTIF(K10:BY10,"❌")+COUNTIF(K10:BY10,"➖")</f>
        <v/>
      </c>
      <c r="K10" s="65" t="n"/>
      <c r="L10" s="65" t="n"/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5" t="n"/>
      <c r="AH10" s="65" t="n"/>
      <c r="AI10" s="65" t="n"/>
      <c r="AJ10" s="65" t="n"/>
      <c r="AK10" s="65" t="n"/>
      <c r="AL10" s="65" t="n"/>
      <c r="AM10" s="65" t="n"/>
      <c r="AN10" s="65" t="n"/>
      <c r="AO10" s="65" t="n"/>
      <c r="AP10" s="65" t="n"/>
      <c r="AQ10" s="65" t="n"/>
      <c r="AR10" s="65" t="n"/>
      <c r="AS10" s="65" t="n"/>
      <c r="AT10" s="65" t="n"/>
      <c r="AU10" s="65" t="n"/>
      <c r="AV10" s="65" t="n"/>
      <c r="AW10" s="65" t="n"/>
      <c r="AX10" s="65" t="n"/>
      <c r="AY10" s="65" t="n"/>
      <c r="AZ10" s="65" t="n"/>
      <c r="BA10" s="65" t="n"/>
      <c r="BB10" s="65" t="n"/>
      <c r="BC10" s="65" t="n"/>
      <c r="BD10" s="65" t="n"/>
      <c r="BE10" s="65" t="n"/>
      <c r="BF10" s="65" t="n"/>
      <c r="BG10" s="65" t="n"/>
      <c r="BH10" s="65" t="n"/>
      <c r="BI10" s="65" t="n"/>
      <c r="BJ10" s="65" t="n"/>
      <c r="BK10" s="65" t="n"/>
      <c r="BL10" s="65" t="n"/>
      <c r="BM10" s="65" t="n"/>
      <c r="BN10" s="65" t="n"/>
      <c r="BO10" s="65" t="n"/>
      <c r="BP10" s="65" t="n"/>
      <c r="BQ10" s="65" t="n"/>
      <c r="BR10" s="65" t="n"/>
      <c r="BS10" s="65" t="n"/>
      <c r="BT10" s="65" t="n"/>
      <c r="BU10" s="65" t="n"/>
      <c r="BV10" s="65" t="n"/>
      <c r="BW10" s="65" t="n"/>
      <c r="BX10" s="65" t="n"/>
      <c r="BY10" s="65" t="n"/>
      <c r="BZ10" s="66" t="n"/>
      <c r="CA10" s="66" t="n"/>
    </row>
    <row r="11" ht="18" customHeight="1">
      <c r="A11" s="61" t="inlineStr">
        <is>
          <t>Qwen/Qwen3-30B-A3B-Thinking-2507</t>
        </is>
      </c>
      <c r="B11" s="62" t="inlineStr">
        <is>
          <t>Qwen</t>
        </is>
      </c>
      <c r="C11" s="62" t="inlineStr">
        <is>
          <t>llama.cpp</t>
        </is>
      </c>
      <c r="D11" s="62" t="inlineStr">
        <is>
          <t>Q4_K_M</t>
        </is>
      </c>
      <c r="E11" s="62" t="inlineStr">
        <is>
          <t>30.5B</t>
        </is>
      </c>
      <c r="F11" s="62" t="inlineStr">
        <is>
          <t>262k</t>
        </is>
      </c>
      <c r="G11" s="63" t="n"/>
      <c r="H11" s="62" t="inlineStr">
        <is>
          <t>Untested</t>
        </is>
      </c>
      <c r="I11" s="64">
        <f>IFERROR((COUNTIF(K11:BY11,"✅")+0.5*COUNTIF(K11:BY11,"⚠️"))/(COUNTIF(K11:BY11,"✅")+COUNTIF(K11:BY11,"⚠️")+COUNTIF(K11:BY11,"❌")),"")</f>
        <v/>
      </c>
      <c r="J11" s="63">
        <f>COUNTIF(K11:BY11,"✅")+COUNTIF(K11:BY11,"⚠️")+COUNTIF(K11:BY11,"❌")+COUNTIF(K11:BY11,"➖")</f>
        <v/>
      </c>
      <c r="K11" s="65" t="n"/>
      <c r="L11" s="65" t="n"/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5" t="n"/>
      <c r="AG11" s="65" t="n"/>
      <c r="AH11" s="65" t="n"/>
      <c r="AI11" s="65" t="n"/>
      <c r="AJ11" s="65" t="n"/>
      <c r="AK11" s="65" t="n"/>
      <c r="AL11" s="65" t="n"/>
      <c r="AM11" s="65" t="n"/>
      <c r="AN11" s="65" t="n"/>
      <c r="AO11" s="65" t="n"/>
      <c r="AP11" s="65" t="n"/>
      <c r="AQ11" s="65" t="n"/>
      <c r="AR11" s="65" t="n"/>
      <c r="AS11" s="65" t="n"/>
      <c r="AT11" s="65" t="n"/>
      <c r="AU11" s="65" t="n"/>
      <c r="AV11" s="65" t="n"/>
      <c r="AW11" s="65" t="n"/>
      <c r="AX11" s="65" t="n"/>
      <c r="AY11" s="65" t="n"/>
      <c r="AZ11" s="65" t="n"/>
      <c r="BA11" s="65" t="n"/>
      <c r="BB11" s="65" t="n"/>
      <c r="BC11" s="65" t="n"/>
      <c r="BD11" s="65" t="n"/>
      <c r="BE11" s="65" t="n"/>
      <c r="BF11" s="65" t="n"/>
      <c r="BG11" s="65" t="n"/>
      <c r="BH11" s="65" t="n"/>
      <c r="BI11" s="65" t="n"/>
      <c r="BJ11" s="65" t="n"/>
      <c r="BK11" s="65" t="n"/>
      <c r="BL11" s="65" t="n"/>
      <c r="BM11" s="65" t="n"/>
      <c r="BN11" s="65" t="n"/>
      <c r="BO11" s="65" t="n"/>
      <c r="BP11" s="65" t="n"/>
      <c r="BQ11" s="65" t="n"/>
      <c r="BR11" s="65" t="n"/>
      <c r="BS11" s="65" t="n"/>
      <c r="BT11" s="65" t="n"/>
      <c r="BU11" s="65" t="n"/>
      <c r="BV11" s="65" t="n"/>
      <c r="BW11" s="65" t="n"/>
      <c r="BX11" s="65" t="n"/>
      <c r="BY11" s="65" t="n"/>
      <c r="BZ11" s="66" t="n"/>
      <c r="CA11" s="66" t="n"/>
    </row>
    <row r="12" ht="18" customHeight="1">
      <c r="A12" s="61" t="inlineStr">
        <is>
          <t>Qwen/Qwen3-32B</t>
        </is>
      </c>
      <c r="B12" s="62" t="inlineStr">
        <is>
          <t>Qwen</t>
        </is>
      </c>
      <c r="C12" s="62" t="inlineStr">
        <is>
          <t>llama.cpp</t>
        </is>
      </c>
      <c r="D12" s="62" t="inlineStr">
        <is>
          <t>Q4_K_M</t>
        </is>
      </c>
      <c r="E12" s="62" t="inlineStr">
        <is>
          <t>32.8B</t>
        </is>
      </c>
      <c r="F12" s="62" t="inlineStr">
        <is>
          <t>41k</t>
        </is>
      </c>
      <c r="G12" s="63" t="n"/>
      <c r="H12" s="62" t="inlineStr">
        <is>
          <t>Untested</t>
        </is>
      </c>
      <c r="I12" s="64">
        <f>IFERROR((COUNTIF(K12:BY12,"✅")+0.5*COUNTIF(K12:BY12,"⚠️"))/(COUNTIF(K12:BY12,"✅")+COUNTIF(K12:BY12,"⚠️")+COUNTIF(K12:BY12,"❌")),"")</f>
        <v/>
      </c>
      <c r="J12" s="63">
        <f>COUNTIF(K12:BY12,"✅")+COUNTIF(K12:BY12,"⚠️")+COUNTIF(K12:BY12,"❌")+COUNTIF(K12:BY12,"➖")</f>
        <v/>
      </c>
      <c r="K12" s="65" t="n"/>
      <c r="L12" s="65" t="n"/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5" t="n"/>
      <c r="AI12" s="65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65" t="n"/>
      <c r="AX12" s="65" t="n"/>
      <c r="AY12" s="65" t="n"/>
      <c r="AZ12" s="65" t="n"/>
      <c r="BA12" s="65" t="n"/>
      <c r="BB12" s="65" t="n"/>
      <c r="BC12" s="65" t="n"/>
      <c r="BD12" s="65" t="n"/>
      <c r="BE12" s="65" t="n"/>
      <c r="BF12" s="65" t="n"/>
      <c r="BG12" s="65" t="n"/>
      <c r="BH12" s="65" t="n"/>
      <c r="BI12" s="65" t="n"/>
      <c r="BJ12" s="65" t="n"/>
      <c r="BK12" s="65" t="n"/>
      <c r="BL12" s="65" t="n"/>
      <c r="BM12" s="65" t="n"/>
      <c r="BN12" s="65" t="n"/>
      <c r="BO12" s="65" t="n"/>
      <c r="BP12" s="65" t="n"/>
      <c r="BQ12" s="65" t="n"/>
      <c r="BR12" s="65" t="n"/>
      <c r="BS12" s="65" t="n"/>
      <c r="BT12" s="65" t="n"/>
      <c r="BU12" s="65" t="n"/>
      <c r="BV12" s="65" t="n"/>
      <c r="BW12" s="65" t="n"/>
      <c r="BX12" s="65" t="n"/>
      <c r="BY12" s="65" t="n"/>
      <c r="BZ12" s="66" t="n"/>
      <c r="CA12" s="66" t="n"/>
    </row>
    <row r="13" ht="18" customHeight="1">
      <c r="A13" s="61" t="inlineStr">
        <is>
          <t>Qwen/Qwen3-32B</t>
        </is>
      </c>
      <c r="B13" s="62" t="inlineStr">
        <is>
          <t>Qwen</t>
        </is>
      </c>
      <c r="C13" s="62" t="inlineStr">
        <is>
          <t>MLX</t>
        </is>
      </c>
      <c r="D13" s="62" t="inlineStr">
        <is>
          <t>MLX-4bit</t>
        </is>
      </c>
      <c r="E13" s="62" t="inlineStr">
        <is>
          <t>32.8B</t>
        </is>
      </c>
      <c r="F13" s="62" t="inlineStr">
        <is>
          <t>41k</t>
        </is>
      </c>
      <c r="G13" s="63" t="n"/>
      <c r="H13" s="62" t="inlineStr">
        <is>
          <t>Untested</t>
        </is>
      </c>
      <c r="I13" s="64">
        <f>IFERROR((COUNTIF(K13:BY13,"✅")+0.5*COUNTIF(K13:BY13,"⚠️"))/(COUNTIF(K13:BY13,"✅")+COUNTIF(K13:BY13,"⚠️")+COUNTIF(K13:BY13,"❌")),"")</f>
        <v/>
      </c>
      <c r="J13" s="63">
        <f>COUNTIF(K13:BY13,"✅")+COUNTIF(K13:BY13,"⚠️")+COUNTIF(K13:BY13,"❌")+COUNTIF(K13:BY13,"➖")</f>
        <v/>
      </c>
      <c r="K13" s="65" t="n"/>
      <c r="L13" s="65" t="n"/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5" t="n"/>
      <c r="AI13" s="65" t="n"/>
      <c r="AJ13" s="65" t="n"/>
      <c r="AK13" s="65" t="n"/>
      <c r="AL13" s="65" t="n"/>
      <c r="AM13" s="65" t="n"/>
      <c r="AN13" s="65" t="n"/>
      <c r="AO13" s="65" t="n"/>
      <c r="AP13" s="65" t="n"/>
      <c r="AQ13" s="65" t="n"/>
      <c r="AR13" s="65" t="n"/>
      <c r="AS13" s="65" t="n"/>
      <c r="AT13" s="65" t="n"/>
      <c r="AU13" s="65" t="n"/>
      <c r="AV13" s="65" t="n"/>
      <c r="AW13" s="65" t="n"/>
      <c r="AX13" s="65" t="n"/>
      <c r="AY13" s="65" t="n"/>
      <c r="AZ13" s="65" t="n"/>
      <c r="BA13" s="65" t="n"/>
      <c r="BB13" s="65" t="n"/>
      <c r="BC13" s="65" t="n"/>
      <c r="BD13" s="65" t="n"/>
      <c r="BE13" s="65" t="n"/>
      <c r="BF13" s="65" t="n"/>
      <c r="BG13" s="65" t="n"/>
      <c r="BH13" s="65" t="n"/>
      <c r="BI13" s="65" t="n"/>
      <c r="BJ13" s="65" t="n"/>
      <c r="BK13" s="65" t="n"/>
      <c r="BL13" s="65" t="n"/>
      <c r="BM13" s="65" t="n"/>
      <c r="BN13" s="65" t="n"/>
      <c r="BO13" s="65" t="n"/>
      <c r="BP13" s="65" t="n"/>
      <c r="BQ13" s="65" t="n"/>
      <c r="BR13" s="65" t="n"/>
      <c r="BS13" s="65" t="n"/>
      <c r="BT13" s="65" t="n"/>
      <c r="BU13" s="65" t="n"/>
      <c r="BV13" s="65" t="n"/>
      <c r="BW13" s="65" t="n"/>
      <c r="BX13" s="65" t="n"/>
      <c r="BY13" s="65" t="n"/>
      <c r="BZ13" s="66" t="n"/>
      <c r="CA13" s="66" t="n"/>
    </row>
    <row r="14" ht="18" customHeight="1">
      <c r="A14" s="61" t="inlineStr">
        <is>
          <t>Qwen/Qwen3-14B</t>
        </is>
      </c>
      <c r="B14" s="62" t="inlineStr">
        <is>
          <t>Qwen</t>
        </is>
      </c>
      <c r="C14" s="62" t="inlineStr">
        <is>
          <t>llama.cpp</t>
        </is>
      </c>
      <c r="D14" s="62" t="inlineStr">
        <is>
          <t>Q4_K_M</t>
        </is>
      </c>
      <c r="E14" s="62" t="inlineStr">
        <is>
          <t>14.8B</t>
        </is>
      </c>
      <c r="F14" s="62" t="inlineStr">
        <is>
          <t>41k</t>
        </is>
      </c>
      <c r="G14" s="63" t="n"/>
      <c r="H14" s="62" t="inlineStr">
        <is>
          <t>Untested</t>
        </is>
      </c>
      <c r="I14" s="64">
        <f>IFERROR((COUNTIF(K14:BY14,"✅")+0.5*COUNTIF(K14:BY14,"⚠️"))/(COUNTIF(K14:BY14,"✅")+COUNTIF(K14:BY14,"⚠️")+COUNTIF(K14:BY14,"❌")),"")</f>
        <v/>
      </c>
      <c r="J14" s="63">
        <f>COUNTIF(K14:BY14,"✅")+COUNTIF(K14:BY14,"⚠️")+COUNTIF(K14:BY14,"❌")+COUNTIF(K14:BY14,"➖")</f>
        <v/>
      </c>
      <c r="K14" s="65" t="n"/>
      <c r="L14" s="65" t="n"/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5" t="n"/>
      <c r="AI14" s="65" t="n"/>
      <c r="AJ14" s="65" t="n"/>
      <c r="AK14" s="65" t="n"/>
      <c r="AL14" s="65" t="n"/>
      <c r="AM14" s="65" t="n"/>
      <c r="AN14" s="65" t="n"/>
      <c r="AO14" s="65" t="n"/>
      <c r="AP14" s="65" t="n"/>
      <c r="AQ14" s="65" t="n"/>
      <c r="AR14" s="65" t="n"/>
      <c r="AS14" s="65" t="n"/>
      <c r="AT14" s="65" t="n"/>
      <c r="AU14" s="65" t="n"/>
      <c r="AV14" s="65" t="n"/>
      <c r="AW14" s="65" t="n"/>
      <c r="AX14" s="65" t="n"/>
      <c r="AY14" s="65" t="n"/>
      <c r="AZ14" s="65" t="n"/>
      <c r="BA14" s="65" t="n"/>
      <c r="BB14" s="65" t="n"/>
      <c r="BC14" s="65" t="n"/>
      <c r="BD14" s="65" t="n"/>
      <c r="BE14" s="65" t="n"/>
      <c r="BF14" s="65" t="n"/>
      <c r="BG14" s="65" t="n"/>
      <c r="BH14" s="65" t="n"/>
      <c r="BI14" s="65" t="n"/>
      <c r="BJ14" s="65" t="n"/>
      <c r="BK14" s="65" t="n"/>
      <c r="BL14" s="65" t="n"/>
      <c r="BM14" s="65" t="n"/>
      <c r="BN14" s="65" t="n"/>
      <c r="BO14" s="65" t="n"/>
      <c r="BP14" s="65" t="n"/>
      <c r="BQ14" s="65" t="n"/>
      <c r="BR14" s="65" t="n"/>
      <c r="BS14" s="65" t="n"/>
      <c r="BT14" s="65" t="n"/>
      <c r="BU14" s="65" t="n"/>
      <c r="BV14" s="65" t="n"/>
      <c r="BW14" s="65" t="n"/>
      <c r="BX14" s="65" t="n"/>
      <c r="BY14" s="65" t="n"/>
      <c r="BZ14" s="66" t="n"/>
      <c r="CA14" s="66" t="n"/>
    </row>
    <row r="15" ht="18" customHeight="1">
      <c r="A15" s="61" t="inlineStr">
        <is>
          <t>Qwen/Qwen3-14B</t>
        </is>
      </c>
      <c r="B15" s="62" t="inlineStr">
        <is>
          <t>Qwen</t>
        </is>
      </c>
      <c r="C15" s="62" t="inlineStr">
        <is>
          <t>llama.cpp</t>
        </is>
      </c>
      <c r="D15" s="62" t="inlineStr">
        <is>
          <t>Q6_K</t>
        </is>
      </c>
      <c r="E15" s="62" t="inlineStr">
        <is>
          <t>14.8B</t>
        </is>
      </c>
      <c r="F15" s="62" t="inlineStr">
        <is>
          <t>41k</t>
        </is>
      </c>
      <c r="G15" s="63" t="n"/>
      <c r="H15" s="62" t="inlineStr">
        <is>
          <t>Untested</t>
        </is>
      </c>
      <c r="I15" s="64">
        <f>IFERROR((COUNTIF(K15:BY15,"✅")+0.5*COUNTIF(K15:BY15,"⚠️"))/(COUNTIF(K15:BY15,"✅")+COUNTIF(K15:BY15,"⚠️")+COUNTIF(K15:BY15,"❌")),"")</f>
        <v/>
      </c>
      <c r="J15" s="63">
        <f>COUNTIF(K15:BY15,"✅")+COUNTIF(K15:BY15,"⚠️")+COUNTIF(K15:BY15,"❌")+COUNTIF(K15:BY15,"➖")</f>
        <v/>
      </c>
      <c r="K15" s="65" t="n"/>
      <c r="L15" s="65" t="n"/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  <c r="BW15" s="65" t="n"/>
      <c r="BX15" s="65" t="n"/>
      <c r="BY15" s="65" t="n"/>
      <c r="BZ15" s="66" t="n"/>
      <c r="CA15" s="66" t="n"/>
    </row>
    <row r="16" ht="18" customHeight="1">
      <c r="A16" s="61" t="inlineStr">
        <is>
          <t>Qwen/Qwen3-8B</t>
        </is>
      </c>
      <c r="B16" s="62" t="inlineStr">
        <is>
          <t>Qwen</t>
        </is>
      </c>
      <c r="C16" s="62" t="inlineStr">
        <is>
          <t>llama.cpp</t>
        </is>
      </c>
      <c r="D16" s="62" t="inlineStr">
        <is>
          <t>Q4_K_M</t>
        </is>
      </c>
      <c r="E16" s="62" t="inlineStr">
        <is>
          <t>8.2B</t>
        </is>
      </c>
      <c r="F16" s="62" t="inlineStr">
        <is>
          <t>41k</t>
        </is>
      </c>
      <c r="G16" s="63" t="n"/>
      <c r="H16" s="62" t="inlineStr">
        <is>
          <t>Untested</t>
        </is>
      </c>
      <c r="I16" s="64">
        <f>IFERROR((COUNTIF(K16:BY16,"✅")+0.5*COUNTIF(K16:BY16,"⚠️"))/(COUNTIF(K16:BY16,"✅")+COUNTIF(K16:BY16,"⚠️")+COUNTIF(K16:BY16,"❌")),"")</f>
        <v/>
      </c>
      <c r="J16" s="63">
        <f>COUNTIF(K16:BY16,"✅")+COUNTIF(K16:BY16,"⚠️")+COUNTIF(K16:BY16,"❌")+COUNTIF(K16:BY16,"➖")</f>
        <v/>
      </c>
      <c r="K16" s="65" t="n"/>
      <c r="L16" s="65" t="n"/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  <c r="AO16" s="65" t="n"/>
      <c r="AP16" s="65" t="n"/>
      <c r="AQ16" s="65" t="n"/>
      <c r="AR16" s="65" t="n"/>
      <c r="AS16" s="65" t="n"/>
      <c r="AT16" s="65" t="n"/>
      <c r="AU16" s="65" t="n"/>
      <c r="AV16" s="65" t="n"/>
      <c r="AW16" s="65" t="n"/>
      <c r="AX16" s="65" t="n"/>
      <c r="AY16" s="65" t="n"/>
      <c r="AZ16" s="65" t="n"/>
      <c r="BA16" s="65" t="n"/>
      <c r="BB16" s="65" t="n"/>
      <c r="BC16" s="65" t="n"/>
      <c r="BD16" s="65" t="n"/>
      <c r="BE16" s="65" t="n"/>
      <c r="BF16" s="65" t="n"/>
      <c r="BG16" s="65" t="n"/>
      <c r="BH16" s="65" t="n"/>
      <c r="BI16" s="65" t="n"/>
      <c r="BJ16" s="65" t="n"/>
      <c r="BK16" s="65" t="n"/>
      <c r="BL16" s="65" t="n"/>
      <c r="BM16" s="65" t="n"/>
      <c r="BN16" s="65" t="n"/>
      <c r="BO16" s="65" t="n"/>
      <c r="BP16" s="65" t="n"/>
      <c r="BQ16" s="65" t="n"/>
      <c r="BR16" s="65" t="n"/>
      <c r="BS16" s="65" t="n"/>
      <c r="BT16" s="65" t="n"/>
      <c r="BU16" s="65" t="n"/>
      <c r="BV16" s="65" t="n"/>
      <c r="BW16" s="65" t="n"/>
      <c r="BX16" s="65" t="n"/>
      <c r="BY16" s="65" t="n"/>
      <c r="BZ16" s="66" t="n"/>
      <c r="CA16" s="66" t="n"/>
    </row>
    <row r="17" ht="18" customHeight="1">
      <c r="A17" s="61" t="inlineStr">
        <is>
          <t>Qwen/Qwen3-8B</t>
        </is>
      </c>
      <c r="B17" s="62" t="inlineStr">
        <is>
          <t>Qwen</t>
        </is>
      </c>
      <c r="C17" s="62" t="inlineStr">
        <is>
          <t>llama.cpp</t>
        </is>
      </c>
      <c r="D17" s="62" t="inlineStr">
        <is>
          <t>Q8_0</t>
        </is>
      </c>
      <c r="E17" s="62" t="inlineStr">
        <is>
          <t>8.2B</t>
        </is>
      </c>
      <c r="F17" s="62" t="inlineStr">
        <is>
          <t>41k</t>
        </is>
      </c>
      <c r="G17" s="63" t="n"/>
      <c r="H17" s="62" t="inlineStr">
        <is>
          <t>Untested</t>
        </is>
      </c>
      <c r="I17" s="64">
        <f>IFERROR((COUNTIF(K17:BY17,"✅")+0.5*COUNTIF(K17:BY17,"⚠️"))/(COUNTIF(K17:BY17,"✅")+COUNTIF(K17:BY17,"⚠️")+COUNTIF(K17:BY17,"❌")),"")</f>
        <v/>
      </c>
      <c r="J17" s="63">
        <f>COUNTIF(K17:BY17,"✅")+COUNTIF(K17:BY17,"⚠️")+COUNTIF(K17:BY17,"❌")+COUNTIF(K17:BY17,"➖")</f>
        <v/>
      </c>
      <c r="K17" s="65" t="n"/>
      <c r="L17" s="65" t="n"/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5" t="n"/>
      <c r="AI17" s="65" t="n"/>
      <c r="AJ17" s="65" t="n"/>
      <c r="AK17" s="65" t="n"/>
      <c r="AL17" s="65" t="n"/>
      <c r="AM17" s="65" t="n"/>
      <c r="AN17" s="65" t="n"/>
      <c r="AO17" s="65" t="n"/>
      <c r="AP17" s="65" t="n"/>
      <c r="AQ17" s="65" t="n"/>
      <c r="AR17" s="65" t="n"/>
      <c r="AS17" s="65" t="n"/>
      <c r="AT17" s="65" t="n"/>
      <c r="AU17" s="65" t="n"/>
      <c r="AV17" s="65" t="n"/>
      <c r="AW17" s="65" t="n"/>
      <c r="AX17" s="65" t="n"/>
      <c r="AY17" s="65" t="n"/>
      <c r="AZ17" s="65" t="n"/>
      <c r="BA17" s="65" t="n"/>
      <c r="BB17" s="65" t="n"/>
      <c r="BC17" s="65" t="n"/>
      <c r="BD17" s="65" t="n"/>
      <c r="BE17" s="65" t="n"/>
      <c r="BF17" s="65" t="n"/>
      <c r="BG17" s="65" t="n"/>
      <c r="BH17" s="65" t="n"/>
      <c r="BI17" s="65" t="n"/>
      <c r="BJ17" s="65" t="n"/>
      <c r="BK17" s="65" t="n"/>
      <c r="BL17" s="65" t="n"/>
      <c r="BM17" s="65" t="n"/>
      <c r="BN17" s="65" t="n"/>
      <c r="BO17" s="65" t="n"/>
      <c r="BP17" s="65" t="n"/>
      <c r="BQ17" s="65" t="n"/>
      <c r="BR17" s="65" t="n"/>
      <c r="BS17" s="65" t="n"/>
      <c r="BT17" s="65" t="n"/>
      <c r="BU17" s="65" t="n"/>
      <c r="BV17" s="65" t="n"/>
      <c r="BW17" s="65" t="n"/>
      <c r="BX17" s="65" t="n"/>
      <c r="BY17" s="65" t="n"/>
      <c r="BZ17" s="66" t="n"/>
      <c r="CA17" s="66" t="n"/>
    </row>
    <row r="18" ht="18" customHeight="1">
      <c r="A18" s="61" t="inlineStr">
        <is>
          <t>Qwen/Qwen3-4B-Instruct-2507</t>
        </is>
      </c>
      <c r="B18" s="62" t="inlineStr">
        <is>
          <t>Qwen</t>
        </is>
      </c>
      <c r="C18" s="62" t="inlineStr">
        <is>
          <t>llama.cpp</t>
        </is>
      </c>
      <c r="D18" s="62" t="inlineStr">
        <is>
          <t>Q4_K_M</t>
        </is>
      </c>
      <c r="E18" s="62" t="inlineStr">
        <is>
          <t>4.4B</t>
        </is>
      </c>
      <c r="F18" s="62" t="inlineStr">
        <is>
          <t>262k</t>
        </is>
      </c>
      <c r="G18" s="63" t="n"/>
      <c r="H18" s="62" t="inlineStr">
        <is>
          <t>Untested</t>
        </is>
      </c>
      <c r="I18" s="64">
        <f>IFERROR((COUNTIF(K18:BY18,"✅")+0.5*COUNTIF(K18:BY18,"⚠️"))/(COUNTIF(K18:BY18,"✅")+COUNTIF(K18:BY18,"⚠️")+COUNTIF(K18:BY18,"❌")),"")</f>
        <v/>
      </c>
      <c r="J18" s="63">
        <f>COUNTIF(K18:BY18,"✅")+COUNTIF(K18:BY18,"⚠️")+COUNTIF(K18:BY18,"❌")+COUNTIF(K18:BY18,"➖")</f>
        <v/>
      </c>
      <c r="K18" s="65" t="n"/>
      <c r="L18" s="65" t="n"/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5" t="n"/>
      <c r="AG18" s="65" t="n"/>
      <c r="AH18" s="65" t="n"/>
      <c r="AI18" s="65" t="n"/>
      <c r="AJ18" s="65" t="n"/>
      <c r="AK18" s="65" t="n"/>
      <c r="AL18" s="65" t="n"/>
      <c r="AM18" s="65" t="n"/>
      <c r="AN18" s="65" t="n"/>
      <c r="AO18" s="65" t="n"/>
      <c r="AP18" s="65" t="n"/>
      <c r="AQ18" s="65" t="n"/>
      <c r="AR18" s="65" t="n"/>
      <c r="AS18" s="65" t="n"/>
      <c r="AT18" s="65" t="n"/>
      <c r="AU18" s="65" t="n"/>
      <c r="AV18" s="65" t="n"/>
      <c r="AW18" s="65" t="n"/>
      <c r="AX18" s="65" t="n"/>
      <c r="AY18" s="65" t="n"/>
      <c r="AZ18" s="65" t="n"/>
      <c r="BA18" s="65" t="n"/>
      <c r="BB18" s="65" t="n"/>
      <c r="BC18" s="65" t="n"/>
      <c r="BD18" s="65" t="n"/>
      <c r="BE18" s="65" t="n"/>
      <c r="BF18" s="65" t="n"/>
      <c r="BG18" s="65" t="n"/>
      <c r="BH18" s="65" t="n"/>
      <c r="BI18" s="65" t="n"/>
      <c r="BJ18" s="65" t="n"/>
      <c r="BK18" s="65" t="n"/>
      <c r="BL18" s="65" t="n"/>
      <c r="BM18" s="65" t="n"/>
      <c r="BN18" s="65" t="n"/>
      <c r="BO18" s="65" t="n"/>
      <c r="BP18" s="65" t="n"/>
      <c r="BQ18" s="65" t="n"/>
      <c r="BR18" s="65" t="n"/>
      <c r="BS18" s="65" t="n"/>
      <c r="BT18" s="65" t="n"/>
      <c r="BU18" s="65" t="n"/>
      <c r="BV18" s="65" t="n"/>
      <c r="BW18" s="65" t="n"/>
      <c r="BX18" s="65" t="n"/>
      <c r="BY18" s="65" t="n"/>
      <c r="BZ18" s="66" t="n"/>
      <c r="CA18" s="66" t="n"/>
    </row>
    <row r="19" ht="18" customHeight="1">
      <c r="A19" s="61" t="inlineStr">
        <is>
          <t>Qwen/Qwen3-1.7B</t>
        </is>
      </c>
      <c r="B19" s="62" t="inlineStr">
        <is>
          <t>Qwen</t>
        </is>
      </c>
      <c r="C19" s="62" t="inlineStr">
        <is>
          <t>llama.cpp</t>
        </is>
      </c>
      <c r="D19" s="62" t="inlineStr">
        <is>
          <t>Q4_K_M</t>
        </is>
      </c>
      <c r="E19" s="62" t="inlineStr">
        <is>
          <t>1.7B</t>
        </is>
      </c>
      <c r="F19" s="62" t="inlineStr">
        <is>
          <t>41k</t>
        </is>
      </c>
      <c r="G19" s="63" t="n"/>
      <c r="H19" s="62" t="inlineStr">
        <is>
          <t>Untested</t>
        </is>
      </c>
      <c r="I19" s="64">
        <f>IFERROR((COUNTIF(K19:BY19,"✅")+0.5*COUNTIF(K19:BY19,"⚠️"))/(COUNTIF(K19:BY19,"✅")+COUNTIF(K19:BY19,"⚠️")+COUNTIF(K19:BY19,"❌")),"")</f>
        <v/>
      </c>
      <c r="J19" s="63">
        <f>COUNTIF(K19:BY19,"✅")+COUNTIF(K19:BY19,"⚠️")+COUNTIF(K19:BY19,"❌")+COUNTIF(K19:BY19,"➖")</f>
        <v/>
      </c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  <c r="AP19" s="65" t="n"/>
      <c r="AQ19" s="65" t="n"/>
      <c r="AR19" s="65" t="n"/>
      <c r="AS19" s="65" t="n"/>
      <c r="AT19" s="65" t="n"/>
      <c r="AU19" s="65" t="n"/>
      <c r="AV19" s="65" t="n"/>
      <c r="AW19" s="65" t="n"/>
      <c r="AX19" s="65" t="n"/>
      <c r="AY19" s="65" t="n"/>
      <c r="AZ19" s="65" t="n"/>
      <c r="BA19" s="65" t="n"/>
      <c r="BB19" s="65" t="n"/>
      <c r="BC19" s="65" t="n"/>
      <c r="BD19" s="65" t="n"/>
      <c r="BE19" s="65" t="n"/>
      <c r="BF19" s="65" t="n"/>
      <c r="BG19" s="65" t="n"/>
      <c r="BH19" s="65" t="n"/>
      <c r="BI19" s="65" t="n"/>
      <c r="BJ19" s="65" t="n"/>
      <c r="BK19" s="65" t="n"/>
      <c r="BL19" s="65" t="n"/>
      <c r="BM19" s="65" t="n"/>
      <c r="BN19" s="65" t="n"/>
      <c r="BO19" s="65" t="n"/>
      <c r="BP19" s="65" t="n"/>
      <c r="BQ19" s="65" t="n"/>
      <c r="BR19" s="65" t="n"/>
      <c r="BS19" s="65" t="n"/>
      <c r="BT19" s="65" t="n"/>
      <c r="BU19" s="65" t="n"/>
      <c r="BV19" s="65" t="n"/>
      <c r="BW19" s="65" t="n"/>
      <c r="BX19" s="65" t="n"/>
      <c r="BY19" s="65" t="n"/>
      <c r="BZ19" s="66" t="n"/>
      <c r="CA19" s="66" t="n"/>
    </row>
    <row r="20" ht="18" customHeight="1">
      <c r="A20" s="61" t="inlineStr">
        <is>
          <t>Qwen/Qwen3-0.6B</t>
        </is>
      </c>
      <c r="B20" s="62" t="inlineStr">
        <is>
          <t>Qwen</t>
        </is>
      </c>
      <c r="C20" s="62" t="inlineStr">
        <is>
          <t>llama.cpp</t>
        </is>
      </c>
      <c r="D20" s="62" t="inlineStr">
        <is>
          <t>Q4_K_M</t>
        </is>
      </c>
      <c r="E20" s="62" t="inlineStr">
        <is>
          <t>752M</t>
        </is>
      </c>
      <c r="F20" s="62" t="inlineStr">
        <is>
          <t>41k</t>
        </is>
      </c>
      <c r="G20" s="63" t="n"/>
      <c r="H20" s="62" t="inlineStr">
        <is>
          <t>Untested</t>
        </is>
      </c>
      <c r="I20" s="64">
        <f>IFERROR((COUNTIF(K20:BY20,"✅")+0.5*COUNTIF(K20:BY20,"⚠️"))/(COUNTIF(K20:BY20,"✅")+COUNTIF(K20:BY20,"⚠️")+COUNTIF(K20:BY20,"❌")),"")</f>
        <v/>
      </c>
      <c r="J20" s="63">
        <f>COUNTIF(K20:BY20,"✅")+COUNTIF(K20:BY20,"⚠️")+COUNTIF(K20:BY20,"❌")+COUNTIF(K20:BY20,"➖")</f>
        <v/>
      </c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  <c r="AP20" s="65" t="n"/>
      <c r="AQ20" s="65" t="n"/>
      <c r="AR20" s="65" t="n"/>
      <c r="AS20" s="65" t="n"/>
      <c r="AT20" s="65" t="n"/>
      <c r="AU20" s="65" t="n"/>
      <c r="AV20" s="65" t="n"/>
      <c r="AW20" s="65" t="n"/>
      <c r="AX20" s="65" t="n"/>
      <c r="AY20" s="65" t="n"/>
      <c r="AZ20" s="65" t="n"/>
      <c r="BA20" s="65" t="n"/>
      <c r="BB20" s="65" t="n"/>
      <c r="BC20" s="65" t="n"/>
      <c r="BD20" s="65" t="n"/>
      <c r="BE20" s="65" t="n"/>
      <c r="BF20" s="65" t="n"/>
      <c r="BG20" s="65" t="n"/>
      <c r="BH20" s="65" t="n"/>
      <c r="BI20" s="65" t="n"/>
      <c r="BJ20" s="65" t="n"/>
      <c r="BK20" s="65" t="n"/>
      <c r="BL20" s="65" t="n"/>
      <c r="BM20" s="65" t="n"/>
      <c r="BN20" s="65" t="n"/>
      <c r="BO20" s="65" t="n"/>
      <c r="BP20" s="65" t="n"/>
      <c r="BQ20" s="65" t="n"/>
      <c r="BR20" s="65" t="n"/>
      <c r="BS20" s="65" t="n"/>
      <c r="BT20" s="65" t="n"/>
      <c r="BU20" s="65" t="n"/>
      <c r="BV20" s="65" t="n"/>
      <c r="BW20" s="65" t="n"/>
      <c r="BX20" s="65" t="n"/>
      <c r="BY20" s="65" t="n"/>
      <c r="BZ20" s="66" t="n"/>
      <c r="CA20" s="66" t="n"/>
    </row>
    <row r="21" ht="18" customHeight="1">
      <c r="A21" s="61" t="inlineStr">
        <is>
          <t>Qwen/Qwen2.5-Coder-32B-Instruct</t>
        </is>
      </c>
      <c r="B21" s="62" t="inlineStr">
        <is>
          <t>Qwen</t>
        </is>
      </c>
      <c r="C21" s="62" t="inlineStr">
        <is>
          <t>llama.cpp</t>
        </is>
      </c>
      <c r="D21" s="62" t="inlineStr">
        <is>
          <t>Q4_K_M</t>
        </is>
      </c>
      <c r="E21" s="62" t="inlineStr">
        <is>
          <t>32.8B</t>
        </is>
      </c>
      <c r="F21" s="62" t="inlineStr">
        <is>
          <t>33k</t>
        </is>
      </c>
      <c r="G21" s="63" t="n"/>
      <c r="H21" s="62" t="inlineStr">
        <is>
          <t>Untested</t>
        </is>
      </c>
      <c r="I21" s="64">
        <f>IFERROR((COUNTIF(K21:BY21,"✅")+0.5*COUNTIF(K21:BY21,"⚠️"))/(COUNTIF(K21:BY21,"✅")+COUNTIF(K21:BY21,"⚠️")+COUNTIF(K21:BY21,"❌")),"")</f>
        <v/>
      </c>
      <c r="J21" s="63">
        <f>COUNTIF(K21:BY21,"✅")+COUNTIF(K21:BY21,"⚠️")+COUNTIF(K21:BY21,"❌")+COUNTIF(K21:BY21,"➖")</f>
        <v/>
      </c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  <c r="AP21" s="65" t="n"/>
      <c r="AQ21" s="65" t="n"/>
      <c r="AR21" s="65" t="n"/>
      <c r="AS21" s="65" t="n"/>
      <c r="AT21" s="65" t="n"/>
      <c r="AU21" s="65" t="n"/>
      <c r="AV21" s="65" t="n"/>
      <c r="AW21" s="65" t="n"/>
      <c r="AX21" s="65" t="n"/>
      <c r="AY21" s="65" t="n"/>
      <c r="AZ21" s="65" t="n"/>
      <c r="BA21" s="65" t="n"/>
      <c r="BB21" s="65" t="n"/>
      <c r="BC21" s="65" t="n"/>
      <c r="BD21" s="65" t="n"/>
      <c r="BE21" s="65" t="n"/>
      <c r="BF21" s="65" t="n"/>
      <c r="BG21" s="65" t="n"/>
      <c r="BH21" s="65" t="n"/>
      <c r="BI21" s="65" t="n"/>
      <c r="BJ21" s="65" t="n"/>
      <c r="BK21" s="65" t="n"/>
      <c r="BL21" s="65" t="n"/>
      <c r="BM21" s="65" t="n"/>
      <c r="BN21" s="65" t="n"/>
      <c r="BO21" s="65" t="n"/>
      <c r="BP21" s="65" t="n"/>
      <c r="BQ21" s="65" t="n"/>
      <c r="BR21" s="65" t="n"/>
      <c r="BS21" s="65" t="n"/>
      <c r="BT21" s="65" t="n"/>
      <c r="BU21" s="65" t="n"/>
      <c r="BV21" s="65" t="n"/>
      <c r="BW21" s="65" t="n"/>
      <c r="BX21" s="65" t="n"/>
      <c r="BY21" s="65" t="n"/>
      <c r="BZ21" s="66" t="n"/>
      <c r="CA21" s="66" t="n"/>
    </row>
    <row r="22" ht="18" customHeight="1">
      <c r="A22" s="61" t="inlineStr">
        <is>
          <t>Qwen/Qwen2.5-Coder-14B-Instruct</t>
        </is>
      </c>
      <c r="B22" s="62" t="inlineStr">
        <is>
          <t>Qwen</t>
        </is>
      </c>
      <c r="C22" s="62" t="inlineStr">
        <is>
          <t>llama.cpp</t>
        </is>
      </c>
      <c r="D22" s="62" t="inlineStr">
        <is>
          <t>Q4_K_M</t>
        </is>
      </c>
      <c r="E22" s="62" t="inlineStr">
        <is>
          <t>14.8B</t>
        </is>
      </c>
      <c r="F22" s="62" t="inlineStr">
        <is>
          <t>33k</t>
        </is>
      </c>
      <c r="G22" s="63" t="n"/>
      <c r="H22" s="62" t="inlineStr">
        <is>
          <t>Untested</t>
        </is>
      </c>
      <c r="I22" s="64">
        <f>IFERROR((COUNTIF(K22:BY22,"✅")+0.5*COUNTIF(K22:BY22,"⚠️"))/(COUNTIF(K22:BY22,"✅")+COUNTIF(K22:BY22,"⚠️")+COUNTIF(K22:BY22,"❌")),"")</f>
        <v/>
      </c>
      <c r="J22" s="63">
        <f>COUNTIF(K22:BY22,"✅")+COUNTIF(K22:BY22,"⚠️")+COUNTIF(K22:BY22,"❌")+COUNTIF(K22:BY22,"➖")</f>
        <v/>
      </c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65" t="n"/>
      <c r="AO22" s="65" t="n"/>
      <c r="AP22" s="65" t="n"/>
      <c r="AQ22" s="65" t="n"/>
      <c r="AR22" s="65" t="n"/>
      <c r="AS22" s="65" t="n"/>
      <c r="AT22" s="65" t="n"/>
      <c r="AU22" s="65" t="n"/>
      <c r="AV22" s="65" t="n"/>
      <c r="AW22" s="65" t="n"/>
      <c r="AX22" s="65" t="n"/>
      <c r="AY22" s="65" t="n"/>
      <c r="AZ22" s="65" t="n"/>
      <c r="BA22" s="65" t="n"/>
      <c r="BB22" s="65" t="n"/>
      <c r="BC22" s="65" t="n"/>
      <c r="BD22" s="65" t="n"/>
      <c r="BE22" s="65" t="n"/>
      <c r="BF22" s="65" t="n"/>
      <c r="BG22" s="65" t="n"/>
      <c r="BH22" s="65" t="n"/>
      <c r="BI22" s="65" t="n"/>
      <c r="BJ22" s="65" t="n"/>
      <c r="BK22" s="65" t="n"/>
      <c r="BL22" s="65" t="n"/>
      <c r="BM22" s="65" t="n"/>
      <c r="BN22" s="65" t="n"/>
      <c r="BO22" s="65" t="n"/>
      <c r="BP22" s="65" t="n"/>
      <c r="BQ22" s="65" t="n"/>
      <c r="BR22" s="65" t="n"/>
      <c r="BS22" s="65" t="n"/>
      <c r="BT22" s="65" t="n"/>
      <c r="BU22" s="65" t="n"/>
      <c r="BV22" s="65" t="n"/>
      <c r="BW22" s="65" t="n"/>
      <c r="BX22" s="65" t="n"/>
      <c r="BY22" s="65" t="n"/>
      <c r="BZ22" s="66" t="n"/>
      <c r="CA22" s="66" t="n"/>
    </row>
    <row r="23" ht="18" customHeight="1">
      <c r="A23" s="61" t="inlineStr">
        <is>
          <t>Qwen/Qwen2.5-Coder-7B-Instruct</t>
        </is>
      </c>
      <c r="B23" s="62" t="inlineStr">
        <is>
          <t>Qwen</t>
        </is>
      </c>
      <c r="C23" s="62" t="inlineStr">
        <is>
          <t>llama.cpp</t>
        </is>
      </c>
      <c r="D23" s="62" t="inlineStr">
        <is>
          <t>Q4_K_M</t>
        </is>
      </c>
      <c r="E23" s="62" t="inlineStr">
        <is>
          <t>7.6B</t>
        </is>
      </c>
      <c r="F23" s="62" t="inlineStr">
        <is>
          <t>33k</t>
        </is>
      </c>
      <c r="G23" s="63" t="n"/>
      <c r="H23" s="62" t="inlineStr">
        <is>
          <t>Untested</t>
        </is>
      </c>
      <c r="I23" s="64">
        <f>IFERROR((COUNTIF(K23:BY23,"✅")+0.5*COUNTIF(K23:BY23,"⚠️"))/(COUNTIF(K23:BY23,"✅")+COUNTIF(K23:BY23,"⚠️")+COUNTIF(K23:BY23,"❌")),"")</f>
        <v/>
      </c>
      <c r="J23" s="63">
        <f>COUNTIF(K23:BY23,"✅")+COUNTIF(K23:BY23,"⚠️")+COUNTIF(K23:BY23,"❌")+COUNTIF(K23:BY23,"➖")</f>
        <v/>
      </c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  <c r="BN23" s="65" t="n"/>
      <c r="BO23" s="65" t="n"/>
      <c r="BP23" s="65" t="n"/>
      <c r="BQ23" s="65" t="n"/>
      <c r="BR23" s="65" t="n"/>
      <c r="BS23" s="65" t="n"/>
      <c r="BT23" s="65" t="n"/>
      <c r="BU23" s="65" t="n"/>
      <c r="BV23" s="65" t="n"/>
      <c r="BW23" s="65" t="n"/>
      <c r="BX23" s="65" t="n"/>
      <c r="BY23" s="65" t="n"/>
      <c r="BZ23" s="66" t="n"/>
      <c r="CA23" s="66" t="n"/>
    </row>
    <row r="24" ht="18" customHeight="1">
      <c r="A24" s="61" t="inlineStr">
        <is>
          <t>Qwen/Qwen2.5-14B-Instruct</t>
        </is>
      </c>
      <c r="B24" s="62" t="inlineStr">
        <is>
          <t>Qwen</t>
        </is>
      </c>
      <c r="C24" s="62" t="inlineStr">
        <is>
          <t>llama.cpp</t>
        </is>
      </c>
      <c r="D24" s="62" t="inlineStr">
        <is>
          <t>Q4_K_M</t>
        </is>
      </c>
      <c r="E24" s="62" t="inlineStr">
        <is>
          <t>14.8B</t>
        </is>
      </c>
      <c r="F24" s="62" t="inlineStr">
        <is>
          <t>33k</t>
        </is>
      </c>
      <c r="G24" s="63" t="n"/>
      <c r="H24" s="62" t="inlineStr">
        <is>
          <t>Untested</t>
        </is>
      </c>
      <c r="I24" s="64">
        <f>IFERROR((COUNTIF(K24:BY24,"✅")+0.5*COUNTIF(K24:BY24,"⚠️"))/(COUNTIF(K24:BY24,"✅")+COUNTIF(K24:BY24,"⚠️")+COUNTIF(K24:BY24,"❌")),"")</f>
        <v/>
      </c>
      <c r="J24" s="63">
        <f>COUNTIF(K24:BY24,"✅")+COUNTIF(K24:BY24,"⚠️")+COUNTIF(K24:BY24,"❌")+COUNTIF(K24:BY24,"➖")</f>
        <v/>
      </c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65" t="n"/>
      <c r="AO24" s="65" t="n"/>
      <c r="AP24" s="65" t="n"/>
      <c r="AQ24" s="65" t="n"/>
      <c r="AR24" s="65" t="n"/>
      <c r="AS24" s="65" t="n"/>
      <c r="AT24" s="65" t="n"/>
      <c r="AU24" s="65" t="n"/>
      <c r="AV24" s="65" t="n"/>
      <c r="AW24" s="65" t="n"/>
      <c r="AX24" s="65" t="n"/>
      <c r="AY24" s="65" t="n"/>
      <c r="AZ24" s="65" t="n"/>
      <c r="BA24" s="65" t="n"/>
      <c r="BB24" s="65" t="n"/>
      <c r="BC24" s="65" t="n"/>
      <c r="BD24" s="65" t="n"/>
      <c r="BE24" s="65" t="n"/>
      <c r="BF24" s="65" t="n"/>
      <c r="BG24" s="65" t="n"/>
      <c r="BH24" s="65" t="n"/>
      <c r="BI24" s="65" t="n"/>
      <c r="BJ24" s="65" t="n"/>
      <c r="BK24" s="65" t="n"/>
      <c r="BL24" s="65" t="n"/>
      <c r="BM24" s="65" t="n"/>
      <c r="BN24" s="65" t="n"/>
      <c r="BO24" s="65" t="n"/>
      <c r="BP24" s="65" t="n"/>
      <c r="BQ24" s="65" t="n"/>
      <c r="BR24" s="65" t="n"/>
      <c r="BS24" s="65" t="n"/>
      <c r="BT24" s="65" t="n"/>
      <c r="BU24" s="65" t="n"/>
      <c r="BV24" s="65" t="n"/>
      <c r="BW24" s="65" t="n"/>
      <c r="BX24" s="65" t="n"/>
      <c r="BY24" s="65" t="n"/>
      <c r="BZ24" s="66" t="n"/>
      <c r="CA24" s="66" t="n"/>
    </row>
    <row r="25" ht="18" customHeight="1">
      <c r="A25" s="61" t="inlineStr">
        <is>
          <t>Qwen/Qwen2.5-7B-Instruct</t>
        </is>
      </c>
      <c r="B25" s="62" t="inlineStr">
        <is>
          <t>Qwen</t>
        </is>
      </c>
      <c r="C25" s="62" t="inlineStr">
        <is>
          <t>llama.cpp</t>
        </is>
      </c>
      <c r="D25" s="62" t="inlineStr">
        <is>
          <t>Q4_K_M</t>
        </is>
      </c>
      <c r="E25" s="62" t="inlineStr">
        <is>
          <t>7.6B</t>
        </is>
      </c>
      <c r="F25" s="62" t="inlineStr">
        <is>
          <t>33k</t>
        </is>
      </c>
      <c r="G25" s="63" t="n"/>
      <c r="H25" s="62" t="inlineStr">
        <is>
          <t>Untested</t>
        </is>
      </c>
      <c r="I25" s="64">
        <f>IFERROR((COUNTIF(K25:BY25,"✅")+0.5*COUNTIF(K25:BY25,"⚠️"))/(COUNTIF(K25:BY25,"✅")+COUNTIF(K25:BY25,"⚠️")+COUNTIF(K25:BY25,"❌")),"")</f>
        <v/>
      </c>
      <c r="J25" s="63">
        <f>COUNTIF(K25:BY25,"✅")+COUNTIF(K25:BY25,"⚠️")+COUNTIF(K25:BY25,"❌")+COUNTIF(K25:BY25,"➖")</f>
        <v/>
      </c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/>
      <c r="AJ25" s="65" t="n"/>
      <c r="AK25" s="65" t="n"/>
      <c r="AL25" s="65" t="n"/>
      <c r="AM25" s="65" t="n"/>
      <c r="AN25" s="65" t="n"/>
      <c r="AO25" s="65" t="n"/>
      <c r="AP25" s="65" t="n"/>
      <c r="AQ25" s="65" t="n"/>
      <c r="AR25" s="65" t="n"/>
      <c r="AS25" s="65" t="n"/>
      <c r="AT25" s="65" t="n"/>
      <c r="AU25" s="65" t="n"/>
      <c r="AV25" s="65" t="n"/>
      <c r="AW25" s="65" t="n"/>
      <c r="AX25" s="65" t="n"/>
      <c r="AY25" s="65" t="n"/>
      <c r="AZ25" s="65" t="n"/>
      <c r="BA25" s="65" t="n"/>
      <c r="BB25" s="65" t="n"/>
      <c r="BC25" s="65" t="n"/>
      <c r="BD25" s="65" t="n"/>
      <c r="BE25" s="65" t="n"/>
      <c r="BF25" s="65" t="n"/>
      <c r="BG25" s="65" t="n"/>
      <c r="BH25" s="65" t="n"/>
      <c r="BI25" s="65" t="n"/>
      <c r="BJ25" s="65" t="n"/>
      <c r="BK25" s="65" t="n"/>
      <c r="BL25" s="65" t="n"/>
      <c r="BM25" s="65" t="n"/>
      <c r="BN25" s="65" t="n"/>
      <c r="BO25" s="65" t="n"/>
      <c r="BP25" s="65" t="n"/>
      <c r="BQ25" s="65" t="n"/>
      <c r="BR25" s="65" t="n"/>
      <c r="BS25" s="65" t="n"/>
      <c r="BT25" s="65" t="n"/>
      <c r="BU25" s="65" t="n"/>
      <c r="BV25" s="65" t="n"/>
      <c r="BW25" s="65" t="n"/>
      <c r="BX25" s="65" t="n"/>
      <c r="BY25" s="65" t="n"/>
      <c r="BZ25" s="66" t="n"/>
      <c r="CA25" s="66" t="n"/>
    </row>
    <row r="26" ht="18" customHeight="1">
      <c r="A26" s="61" t="inlineStr">
        <is>
          <t>openai/gpt-oss-20b</t>
        </is>
      </c>
      <c r="B26" s="62" t="inlineStr">
        <is>
          <t>OpenAI</t>
        </is>
      </c>
      <c r="C26" s="62" t="inlineStr">
        <is>
          <t>llama.cpp</t>
        </is>
      </c>
      <c r="D26" s="62" t="inlineStr">
        <is>
          <t>MXFP4</t>
        </is>
      </c>
      <c r="E26" s="62" t="inlineStr">
        <is>
          <t>21B</t>
        </is>
      </c>
      <c r="F26" s="62" t="inlineStr">
        <is>
          <t>131k</t>
        </is>
      </c>
      <c r="G26" s="63" t="n"/>
      <c r="H26" s="62" t="inlineStr">
        <is>
          <t>Untested</t>
        </is>
      </c>
      <c r="I26" s="64">
        <f>IFERROR((COUNTIF(K26:BY26,"✅")+0.5*COUNTIF(K26:BY26,"⚠️"))/(COUNTIF(K26:BY26,"✅")+COUNTIF(K26:BY26,"⚠️")+COUNTIF(K26:BY26,"❌")),"")</f>
        <v/>
      </c>
      <c r="J26" s="63">
        <f>COUNTIF(K26:BY26,"✅")+COUNTIF(K26:BY26,"⚠️")+COUNTIF(K26:BY26,"❌")+COUNTIF(K26:BY26,"➖")</f>
        <v/>
      </c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  <c r="AO26" s="65" t="n"/>
      <c r="AP26" s="65" t="n"/>
      <c r="AQ26" s="65" t="n"/>
      <c r="AR26" s="65" t="n"/>
      <c r="AS26" s="65" t="n"/>
      <c r="AT26" s="6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65" t="n"/>
      <c r="BI26" s="65" t="n"/>
      <c r="BJ26" s="65" t="n"/>
      <c r="BK26" s="65" t="n"/>
      <c r="BL26" s="65" t="n"/>
      <c r="BM26" s="65" t="n"/>
      <c r="BN26" s="65" t="n"/>
      <c r="BO26" s="65" t="n"/>
      <c r="BP26" s="65" t="n"/>
      <c r="BQ26" s="65" t="n"/>
      <c r="BR26" s="65" t="n"/>
      <c r="BS26" s="65" t="n"/>
      <c r="BT26" s="65" t="n"/>
      <c r="BU26" s="65" t="n"/>
      <c r="BV26" s="65" t="n"/>
      <c r="BW26" s="65" t="n"/>
      <c r="BX26" s="65" t="n"/>
      <c r="BY26" s="65" t="n"/>
      <c r="BZ26" s="66" t="n"/>
      <c r="CA26" s="66" t="n"/>
    </row>
    <row r="27" ht="18" customHeight="1">
      <c r="A27" s="61" t="inlineStr">
        <is>
          <t>openai/gpt-oss-120b</t>
        </is>
      </c>
      <c r="B27" s="62" t="inlineStr">
        <is>
          <t>OpenAI</t>
        </is>
      </c>
      <c r="C27" s="62" t="inlineStr">
        <is>
          <t>llama.cpp</t>
        </is>
      </c>
      <c r="D27" s="62" t="inlineStr">
        <is>
          <t>MXFP4</t>
        </is>
      </c>
      <c r="E27" s="62" t="inlineStr">
        <is>
          <t>117B</t>
        </is>
      </c>
      <c r="F27" s="62" t="inlineStr">
        <is>
          <t>131k</t>
        </is>
      </c>
      <c r="G27" s="63" t="n"/>
      <c r="H27" s="62" t="inlineStr">
        <is>
          <t>Untested</t>
        </is>
      </c>
      <c r="I27" s="64">
        <f>IFERROR((COUNTIF(K27:BY27,"✅")+0.5*COUNTIF(K27:BY27,"⚠️"))/(COUNTIF(K27:BY27,"✅")+COUNTIF(K27:BY27,"⚠️")+COUNTIF(K27:BY27,"❌")),"")</f>
        <v/>
      </c>
      <c r="J27" s="63">
        <f>COUNTIF(K27:BY27,"✅")+COUNTIF(K27:BY27,"⚠️")+COUNTIF(K27:BY27,"❌")+COUNTIF(K27:BY27,"➖")</f>
        <v/>
      </c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65" t="n"/>
      <c r="AO27" s="65" t="n"/>
      <c r="AP27" s="65" t="n"/>
      <c r="AQ27" s="65" t="n"/>
      <c r="AR27" s="65" t="n"/>
      <c r="AS27" s="65" t="n"/>
      <c r="AT27" s="65" t="n"/>
      <c r="AU27" s="65" t="n"/>
      <c r="AV27" s="65" t="n"/>
      <c r="AW27" s="65" t="n"/>
      <c r="AX27" s="65" t="n"/>
      <c r="AY27" s="65" t="n"/>
      <c r="AZ27" s="65" t="n"/>
      <c r="BA27" s="65" t="n"/>
      <c r="BB27" s="65" t="n"/>
      <c r="BC27" s="65" t="n"/>
      <c r="BD27" s="65" t="n"/>
      <c r="BE27" s="65" t="n"/>
      <c r="BF27" s="65" t="n"/>
      <c r="BG27" s="65" t="n"/>
      <c r="BH27" s="65" t="n"/>
      <c r="BI27" s="65" t="n"/>
      <c r="BJ27" s="65" t="n"/>
      <c r="BK27" s="65" t="n"/>
      <c r="BL27" s="65" t="n"/>
      <c r="BM27" s="65" t="n"/>
      <c r="BN27" s="65" t="n"/>
      <c r="BO27" s="65" t="n"/>
      <c r="BP27" s="65" t="n"/>
      <c r="BQ27" s="65" t="n"/>
      <c r="BR27" s="65" t="n"/>
      <c r="BS27" s="65" t="n"/>
      <c r="BT27" s="65" t="n"/>
      <c r="BU27" s="65" t="n"/>
      <c r="BV27" s="65" t="n"/>
      <c r="BW27" s="65" t="n"/>
      <c r="BX27" s="65" t="n"/>
      <c r="BY27" s="65" t="n"/>
      <c r="BZ27" s="66" t="n"/>
      <c r="CA27" s="66" t="n"/>
    </row>
    <row r="28" ht="18" customHeight="1">
      <c r="A28" s="61" t="inlineStr">
        <is>
          <t>zai-org/GLM-4.7-Flash</t>
        </is>
      </c>
      <c r="B28" s="62" t="inlineStr">
        <is>
          <t>Z.ai</t>
        </is>
      </c>
      <c r="C28" s="62" t="inlineStr">
        <is>
          <t>llama.cpp</t>
        </is>
      </c>
      <c r="D28" s="62" t="inlineStr">
        <is>
          <t>Q4_K_M</t>
        </is>
      </c>
      <c r="E28" s="62" t="inlineStr">
        <is>
          <t>31.2B</t>
        </is>
      </c>
      <c r="F28" s="62" t="inlineStr">
        <is>
          <t>203k</t>
        </is>
      </c>
      <c r="G28" s="63" t="n"/>
      <c r="H28" s="62" t="inlineStr">
        <is>
          <t>Untested</t>
        </is>
      </c>
      <c r="I28" s="64">
        <f>IFERROR((COUNTIF(K28:BY28,"✅")+0.5*COUNTIF(K28:BY28,"⚠️"))/(COUNTIF(K28:BY28,"✅")+COUNTIF(K28:BY28,"⚠️")+COUNTIF(K28:BY28,"❌")),"")</f>
        <v/>
      </c>
      <c r="J28" s="63">
        <f>COUNTIF(K28:BY28,"✅")+COUNTIF(K28:BY28,"⚠️")+COUNTIF(K28:BY28,"❌")+COUNTIF(K28:BY28,"➖")</f>
        <v/>
      </c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/>
      <c r="AJ28" s="65" t="n"/>
      <c r="AK28" s="65" t="n"/>
      <c r="AL28" s="65" t="n"/>
      <c r="AM28" s="65" t="n"/>
      <c r="AN28" s="65" t="n"/>
      <c r="AO28" s="65" t="n"/>
      <c r="AP28" s="65" t="n"/>
      <c r="AQ28" s="65" t="n"/>
      <c r="AR28" s="65" t="n"/>
      <c r="AS28" s="65" t="n"/>
      <c r="AT28" s="65" t="n"/>
      <c r="AU28" s="65" t="n"/>
      <c r="AV28" s="65" t="n"/>
      <c r="AW28" s="65" t="n"/>
      <c r="AX28" s="65" t="n"/>
      <c r="AY28" s="65" t="n"/>
      <c r="AZ28" s="65" t="n"/>
      <c r="BA28" s="65" t="n"/>
      <c r="BB28" s="65" t="n"/>
      <c r="BC28" s="65" t="n"/>
      <c r="BD28" s="65" t="n"/>
      <c r="BE28" s="65" t="n"/>
      <c r="BF28" s="65" t="n"/>
      <c r="BG28" s="65" t="n"/>
      <c r="BH28" s="65" t="n"/>
      <c r="BI28" s="65" t="n"/>
      <c r="BJ28" s="65" t="n"/>
      <c r="BK28" s="65" t="n"/>
      <c r="BL28" s="65" t="n"/>
      <c r="BM28" s="65" t="n"/>
      <c r="BN28" s="65" t="n"/>
      <c r="BO28" s="65" t="n"/>
      <c r="BP28" s="65" t="n"/>
      <c r="BQ28" s="65" t="n"/>
      <c r="BR28" s="65" t="n"/>
      <c r="BS28" s="65" t="n"/>
      <c r="BT28" s="65" t="n"/>
      <c r="BU28" s="65" t="n"/>
      <c r="BV28" s="65" t="n"/>
      <c r="BW28" s="65" t="n"/>
      <c r="BX28" s="65" t="n"/>
      <c r="BY28" s="65" t="n"/>
      <c r="BZ28" s="66" t="n"/>
      <c r="CA28" s="66" t="n"/>
    </row>
    <row r="29" ht="18" customHeight="1">
      <c r="A29" s="61" t="inlineStr">
        <is>
          <t>zai-org/GLM-4.7-Flash</t>
        </is>
      </c>
      <c r="B29" s="62" t="inlineStr">
        <is>
          <t>Z.ai</t>
        </is>
      </c>
      <c r="C29" s="62" t="inlineStr">
        <is>
          <t>MLX</t>
        </is>
      </c>
      <c r="D29" s="62" t="inlineStr">
        <is>
          <t>MLX-6bit</t>
        </is>
      </c>
      <c r="E29" s="62" t="inlineStr">
        <is>
          <t>29.9B</t>
        </is>
      </c>
      <c r="F29" s="62" t="inlineStr">
        <is>
          <t>203k</t>
        </is>
      </c>
      <c r="G29" s="63" t="n"/>
      <c r="H29" s="62" t="inlineStr">
        <is>
          <t>Untested</t>
        </is>
      </c>
      <c r="I29" s="64">
        <f>IFERROR((COUNTIF(K29:BY29,"✅")+0.5*COUNTIF(K29:BY29,"⚠️"))/(COUNTIF(K29:BY29,"✅")+COUNTIF(K29:BY29,"⚠️")+COUNTIF(K29:BY29,"❌")),"")</f>
        <v/>
      </c>
      <c r="J29" s="63">
        <f>COUNTIF(K29:BY29,"✅")+COUNTIF(K29:BY29,"⚠️")+COUNTIF(K29:BY29,"❌")+COUNTIF(K29:BY29,"➖")</f>
        <v/>
      </c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/>
      <c r="AJ29" s="65" t="n"/>
      <c r="AK29" s="65" t="n"/>
      <c r="AL29" s="65" t="n"/>
      <c r="AM29" s="65" t="n"/>
      <c r="AN29" s="65" t="n"/>
      <c r="AO29" s="65" t="n"/>
      <c r="AP29" s="65" t="n"/>
      <c r="AQ29" s="65" t="n"/>
      <c r="AR29" s="65" t="n"/>
      <c r="AS29" s="65" t="n"/>
      <c r="AT29" s="65" t="n"/>
      <c r="AU29" s="65" t="n"/>
      <c r="AV29" s="65" t="n"/>
      <c r="AW29" s="65" t="n"/>
      <c r="AX29" s="65" t="n"/>
      <c r="AY29" s="65" t="n"/>
      <c r="AZ29" s="65" t="n"/>
      <c r="BA29" s="65" t="n"/>
      <c r="BB29" s="65" t="n"/>
      <c r="BC29" s="65" t="n"/>
      <c r="BD29" s="65" t="n"/>
      <c r="BE29" s="65" t="n"/>
      <c r="BF29" s="65" t="n"/>
      <c r="BG29" s="65" t="n"/>
      <c r="BH29" s="65" t="n"/>
      <c r="BI29" s="65" t="n"/>
      <c r="BJ29" s="65" t="n"/>
      <c r="BK29" s="65" t="n"/>
      <c r="BL29" s="65" t="n"/>
      <c r="BM29" s="65" t="n"/>
      <c r="BN29" s="65" t="n"/>
      <c r="BO29" s="65" t="n"/>
      <c r="BP29" s="65" t="n"/>
      <c r="BQ29" s="65" t="n"/>
      <c r="BR29" s="65" t="n"/>
      <c r="BS29" s="65" t="n"/>
      <c r="BT29" s="65" t="n"/>
      <c r="BU29" s="65" t="n"/>
      <c r="BV29" s="65" t="n"/>
      <c r="BW29" s="65" t="n"/>
      <c r="BX29" s="65" t="n"/>
      <c r="BY29" s="65" t="n"/>
      <c r="BZ29" s="66" t="n"/>
      <c r="CA29" s="66" t="n"/>
    </row>
    <row r="30" ht="18" customHeight="1">
      <c r="A30" s="61" t="inlineStr">
        <is>
          <t>google/gemma-3-27b-it</t>
        </is>
      </c>
      <c r="B30" s="62" t="inlineStr">
        <is>
          <t>Google</t>
        </is>
      </c>
      <c r="C30" s="62" t="inlineStr">
        <is>
          <t>llama.cpp</t>
        </is>
      </c>
      <c r="D30" s="62" t="inlineStr">
        <is>
          <t>Q4_K_M</t>
        </is>
      </c>
      <c r="E30" s="62" t="inlineStr">
        <is>
          <t>27.4B</t>
        </is>
      </c>
      <c r="F30" s="62" t="inlineStr">
        <is>
          <t>128k</t>
        </is>
      </c>
      <c r="G30" s="63" t="n"/>
      <c r="H30" s="62" t="inlineStr">
        <is>
          <t>Untested</t>
        </is>
      </c>
      <c r="I30" s="64">
        <f>IFERROR((COUNTIF(K30:BY30,"✅")+0.5*COUNTIF(K30:BY30,"⚠️"))/(COUNTIF(K30:BY30,"✅")+COUNTIF(K30:BY30,"⚠️")+COUNTIF(K30:BY30,"❌")),"")</f>
        <v/>
      </c>
      <c r="J30" s="63">
        <f>COUNTIF(K30:BY30,"✅")+COUNTIF(K30:BY30,"⚠️")+COUNTIF(K30:BY30,"❌")+COUNTIF(K30:BY30,"➖")</f>
        <v/>
      </c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65" t="n"/>
      <c r="AO30" s="65" t="n"/>
      <c r="AP30" s="65" t="n"/>
      <c r="AQ30" s="65" t="n"/>
      <c r="AR30" s="65" t="n"/>
      <c r="AS30" s="65" t="n"/>
      <c r="AT30" s="65" t="n"/>
      <c r="AU30" s="65" t="n"/>
      <c r="AV30" s="65" t="n"/>
      <c r="AW30" s="65" t="n"/>
      <c r="AX30" s="65" t="n"/>
      <c r="AY30" s="65" t="n"/>
      <c r="AZ30" s="65" t="n"/>
      <c r="BA30" s="65" t="n"/>
      <c r="BB30" s="65" t="n"/>
      <c r="BC30" s="65" t="n"/>
      <c r="BD30" s="65" t="n"/>
      <c r="BE30" s="65" t="n"/>
      <c r="BF30" s="65" t="n"/>
      <c r="BG30" s="65" t="n"/>
      <c r="BH30" s="65" t="n"/>
      <c r="BI30" s="65" t="n"/>
      <c r="BJ30" s="65" t="n"/>
      <c r="BK30" s="65" t="n"/>
      <c r="BL30" s="65" t="n"/>
      <c r="BM30" s="65" t="n"/>
      <c r="BN30" s="65" t="n"/>
      <c r="BO30" s="65" t="n"/>
      <c r="BP30" s="65" t="n"/>
      <c r="BQ30" s="65" t="n"/>
      <c r="BR30" s="65" t="n"/>
      <c r="BS30" s="65" t="n"/>
      <c r="BT30" s="65" t="n"/>
      <c r="BU30" s="65" t="n"/>
      <c r="BV30" s="65" t="n"/>
      <c r="BW30" s="65" t="n"/>
      <c r="BX30" s="65" t="n"/>
      <c r="BY30" s="65" t="n"/>
      <c r="BZ30" s="66" t="n"/>
      <c r="CA30" s="66" t="n"/>
    </row>
    <row r="31" ht="18" customHeight="1">
      <c r="A31" s="61" t="inlineStr">
        <is>
          <t>google/gemma-3-12b-it</t>
        </is>
      </c>
      <c r="B31" s="62" t="inlineStr">
        <is>
          <t>Google</t>
        </is>
      </c>
      <c r="C31" s="62" t="inlineStr">
        <is>
          <t>llama.cpp</t>
        </is>
      </c>
      <c r="D31" s="62" t="inlineStr">
        <is>
          <t>Q4_K_M</t>
        </is>
      </c>
      <c r="E31" s="62" t="inlineStr">
        <is>
          <t>12B</t>
        </is>
      </c>
      <c r="F31" s="62" t="inlineStr">
        <is>
          <t>131k</t>
        </is>
      </c>
      <c r="G31" s="63" t="n"/>
      <c r="H31" s="62" t="inlineStr">
        <is>
          <t>Untested</t>
        </is>
      </c>
      <c r="I31" s="64">
        <f>IFERROR((COUNTIF(K31:BY31,"✅")+0.5*COUNTIF(K31:BY31,"⚠️"))/(COUNTIF(K31:BY31,"✅")+COUNTIF(K31:BY31,"⚠️")+COUNTIF(K31:BY31,"❌")),"")</f>
        <v/>
      </c>
      <c r="J31" s="63">
        <f>COUNTIF(K31:BY31,"✅")+COUNTIF(K31:BY31,"⚠️")+COUNTIF(K31:BY31,"❌")+COUNTIF(K31:BY31,"➖")</f>
        <v/>
      </c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  <c r="BN31" s="65" t="n"/>
      <c r="BO31" s="65" t="n"/>
      <c r="BP31" s="65" t="n"/>
      <c r="BQ31" s="65" t="n"/>
      <c r="BR31" s="65" t="n"/>
      <c r="BS31" s="65" t="n"/>
      <c r="BT31" s="65" t="n"/>
      <c r="BU31" s="65" t="n"/>
      <c r="BV31" s="65" t="n"/>
      <c r="BW31" s="65" t="n"/>
      <c r="BX31" s="65" t="n"/>
      <c r="BY31" s="65" t="n"/>
      <c r="BZ31" s="66" t="n"/>
      <c r="CA31" s="66" t="n"/>
    </row>
    <row r="32" ht="18" customHeight="1">
      <c r="A32" s="61" t="inlineStr">
        <is>
          <t>google/gemma-3-4b-it</t>
        </is>
      </c>
      <c r="B32" s="62" t="inlineStr">
        <is>
          <t>Google</t>
        </is>
      </c>
      <c r="C32" s="62" t="inlineStr">
        <is>
          <t>llama.cpp</t>
        </is>
      </c>
      <c r="D32" s="62" t="inlineStr">
        <is>
          <t>Q4_K_M</t>
        </is>
      </c>
      <c r="E32" s="62" t="inlineStr">
        <is>
          <t>4B</t>
        </is>
      </c>
      <c r="F32" s="62" t="inlineStr">
        <is>
          <t>131k</t>
        </is>
      </c>
      <c r="G32" s="63" t="n"/>
      <c r="H32" s="62" t="inlineStr">
        <is>
          <t>Untested</t>
        </is>
      </c>
      <c r="I32" s="64">
        <f>IFERROR((COUNTIF(K32:BY32,"✅")+0.5*COUNTIF(K32:BY32,"⚠️"))/(COUNTIF(K32:BY32,"✅")+COUNTIF(K32:BY32,"⚠️")+COUNTIF(K32:BY32,"❌")),"")</f>
        <v/>
      </c>
      <c r="J32" s="63">
        <f>COUNTIF(K32:BY32,"✅")+COUNTIF(K32:BY32,"⚠️")+COUNTIF(K32:BY32,"❌")+COUNTIF(K32:BY32,"➖")</f>
        <v/>
      </c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/>
      <c r="AG32" s="65" t="n"/>
      <c r="AH32" s="65" t="n"/>
      <c r="AI32" s="65" t="n"/>
      <c r="AJ32" s="65" t="n"/>
      <c r="AK32" s="65" t="n"/>
      <c r="AL32" s="65" t="n"/>
      <c r="AM32" s="65" t="n"/>
      <c r="AN32" s="65" t="n"/>
      <c r="AO32" s="65" t="n"/>
      <c r="AP32" s="65" t="n"/>
      <c r="AQ32" s="65" t="n"/>
      <c r="AR32" s="65" t="n"/>
      <c r="AS32" s="65" t="n"/>
      <c r="AT32" s="65" t="n"/>
      <c r="AU32" s="65" t="n"/>
      <c r="AV32" s="65" t="n"/>
      <c r="AW32" s="65" t="n"/>
      <c r="AX32" s="65" t="n"/>
      <c r="AY32" s="65" t="n"/>
      <c r="AZ32" s="65" t="n"/>
      <c r="BA32" s="65" t="n"/>
      <c r="BB32" s="65" t="n"/>
      <c r="BC32" s="65" t="n"/>
      <c r="BD32" s="65" t="n"/>
      <c r="BE32" s="65" t="n"/>
      <c r="BF32" s="65" t="n"/>
      <c r="BG32" s="65" t="n"/>
      <c r="BH32" s="65" t="n"/>
      <c r="BI32" s="65" t="n"/>
      <c r="BJ32" s="65" t="n"/>
      <c r="BK32" s="65" t="n"/>
      <c r="BL32" s="65" t="n"/>
      <c r="BM32" s="65" t="n"/>
      <c r="BN32" s="65" t="n"/>
      <c r="BO32" s="65" t="n"/>
      <c r="BP32" s="65" t="n"/>
      <c r="BQ32" s="65" t="n"/>
      <c r="BR32" s="65" t="n"/>
      <c r="BS32" s="65" t="n"/>
      <c r="BT32" s="65" t="n"/>
      <c r="BU32" s="65" t="n"/>
      <c r="BV32" s="65" t="n"/>
      <c r="BW32" s="65" t="n"/>
      <c r="BX32" s="65" t="n"/>
      <c r="BY32" s="65" t="n"/>
      <c r="BZ32" s="66" t="n"/>
      <c r="CA32" s="66" t="n"/>
    </row>
    <row r="33" ht="18" customHeight="1">
      <c r="A33" s="61" t="inlineStr">
        <is>
          <t>meta-llama/Llama-3.3-70B-Instruct</t>
        </is>
      </c>
      <c r="B33" s="62" t="inlineStr">
        <is>
          <t>Meta</t>
        </is>
      </c>
      <c r="C33" s="62" t="inlineStr">
        <is>
          <t>llama.cpp</t>
        </is>
      </c>
      <c r="D33" s="62" t="inlineStr">
        <is>
          <t>Q4_K_M</t>
        </is>
      </c>
      <c r="E33" s="62" t="inlineStr">
        <is>
          <t>70.6B</t>
        </is>
      </c>
      <c r="F33" s="62" t="inlineStr">
        <is>
          <t>131k</t>
        </is>
      </c>
      <c r="G33" s="63" t="n"/>
      <c r="H33" s="62" t="inlineStr">
        <is>
          <t>Untested</t>
        </is>
      </c>
      <c r="I33" s="64">
        <f>IFERROR((COUNTIF(K33:BY33,"✅")+0.5*COUNTIF(K33:BY33,"⚠️"))/(COUNTIF(K33:BY33,"✅")+COUNTIF(K33:BY33,"⚠️")+COUNTIF(K33:BY33,"❌")),"")</f>
        <v/>
      </c>
      <c r="J33" s="63">
        <f>COUNTIF(K33:BY33,"✅")+COUNTIF(K33:BY33,"⚠️")+COUNTIF(K33:BY33,"❌")+COUNTIF(K33:BY33,"➖")</f>
        <v/>
      </c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  <c r="AA33" s="65" t="n"/>
      <c r="AB33" s="65" t="n"/>
      <c r="AC33" s="65" t="n"/>
      <c r="AD33" s="65" t="n"/>
      <c r="AE33" s="65" t="n"/>
      <c r="AF33" s="65" t="n"/>
      <c r="AG33" s="65" t="n"/>
      <c r="AH33" s="65" t="n"/>
      <c r="AI33" s="65" t="n"/>
      <c r="AJ33" s="65" t="n"/>
      <c r="AK33" s="65" t="n"/>
      <c r="AL33" s="65" t="n"/>
      <c r="AM33" s="65" t="n"/>
      <c r="AN33" s="65" t="n"/>
      <c r="AO33" s="65" t="n"/>
      <c r="AP33" s="65" t="n"/>
      <c r="AQ33" s="65" t="n"/>
      <c r="AR33" s="65" t="n"/>
      <c r="AS33" s="65" t="n"/>
      <c r="AT33" s="65" t="n"/>
      <c r="AU33" s="65" t="n"/>
      <c r="AV33" s="65" t="n"/>
      <c r="AW33" s="65" t="n"/>
      <c r="AX33" s="65" t="n"/>
      <c r="AY33" s="65" t="n"/>
      <c r="AZ33" s="65" t="n"/>
      <c r="BA33" s="65" t="n"/>
      <c r="BB33" s="65" t="n"/>
      <c r="BC33" s="65" t="n"/>
      <c r="BD33" s="65" t="n"/>
      <c r="BE33" s="65" t="n"/>
      <c r="BF33" s="65" t="n"/>
      <c r="BG33" s="65" t="n"/>
      <c r="BH33" s="65" t="n"/>
      <c r="BI33" s="65" t="n"/>
      <c r="BJ33" s="65" t="n"/>
      <c r="BK33" s="65" t="n"/>
      <c r="BL33" s="65" t="n"/>
      <c r="BM33" s="65" t="n"/>
      <c r="BN33" s="65" t="n"/>
      <c r="BO33" s="65" t="n"/>
      <c r="BP33" s="65" t="n"/>
      <c r="BQ33" s="65" t="n"/>
      <c r="BR33" s="65" t="n"/>
      <c r="BS33" s="65" t="n"/>
      <c r="BT33" s="65" t="n"/>
      <c r="BU33" s="65" t="n"/>
      <c r="BV33" s="65" t="n"/>
      <c r="BW33" s="65" t="n"/>
      <c r="BX33" s="65" t="n"/>
      <c r="BY33" s="65" t="n"/>
      <c r="BZ33" s="66" t="n"/>
      <c r="CA33" s="66" t="n"/>
    </row>
    <row r="34" ht="18" customHeight="1">
      <c r="A34" s="61" t="inlineStr">
        <is>
          <t>meta-llama/Llama-3.1-8B-Instruct</t>
        </is>
      </c>
      <c r="B34" s="62" t="inlineStr">
        <is>
          <t>Meta</t>
        </is>
      </c>
      <c r="C34" s="62" t="inlineStr">
        <is>
          <t>llama.cpp</t>
        </is>
      </c>
      <c r="D34" s="62" t="inlineStr">
        <is>
          <t>Q4_K_M</t>
        </is>
      </c>
      <c r="E34" s="62" t="inlineStr">
        <is>
          <t>8B</t>
        </is>
      </c>
      <c r="F34" s="62" t="inlineStr">
        <is>
          <t>131k</t>
        </is>
      </c>
      <c r="G34" s="63" t="n"/>
      <c r="H34" s="62" t="inlineStr">
        <is>
          <t>Untested</t>
        </is>
      </c>
      <c r="I34" s="64">
        <f>IFERROR((COUNTIF(K34:BY34,"✅")+0.5*COUNTIF(K34:BY34,"⚠️"))/(COUNTIF(K34:BY34,"✅")+COUNTIF(K34:BY34,"⚠️")+COUNTIF(K34:BY34,"❌")),"")</f>
        <v/>
      </c>
      <c r="J34" s="63">
        <f>COUNTIF(K34:BY34,"✅")+COUNTIF(K34:BY34,"⚠️")+COUNTIF(K34:BY34,"❌")+COUNTIF(K34:BY34,"➖")</f>
        <v/>
      </c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  <c r="AA34" s="65" t="n"/>
      <c r="AB34" s="65" t="n"/>
      <c r="AC34" s="65" t="n"/>
      <c r="AD34" s="65" t="n"/>
      <c r="AE34" s="65" t="n"/>
      <c r="AF34" s="65" t="n"/>
      <c r="AG34" s="65" t="n"/>
      <c r="AH34" s="65" t="n"/>
      <c r="AI34" s="65" t="n"/>
      <c r="AJ34" s="65" t="n"/>
      <c r="AK34" s="65" t="n"/>
      <c r="AL34" s="65" t="n"/>
      <c r="AM34" s="65" t="n"/>
      <c r="AN34" s="65" t="n"/>
      <c r="AO34" s="65" t="n"/>
      <c r="AP34" s="65" t="n"/>
      <c r="AQ34" s="65" t="n"/>
      <c r="AR34" s="65" t="n"/>
      <c r="AS34" s="65" t="n"/>
      <c r="AT34" s="65" t="n"/>
      <c r="AU34" s="65" t="n"/>
      <c r="AV34" s="65" t="n"/>
      <c r="AW34" s="65" t="n"/>
      <c r="AX34" s="65" t="n"/>
      <c r="AY34" s="65" t="n"/>
      <c r="AZ34" s="65" t="n"/>
      <c r="BA34" s="65" t="n"/>
      <c r="BB34" s="65" t="n"/>
      <c r="BC34" s="65" t="n"/>
      <c r="BD34" s="65" t="n"/>
      <c r="BE34" s="65" t="n"/>
      <c r="BF34" s="65" t="n"/>
      <c r="BG34" s="65" t="n"/>
      <c r="BH34" s="65" t="n"/>
      <c r="BI34" s="65" t="n"/>
      <c r="BJ34" s="65" t="n"/>
      <c r="BK34" s="65" t="n"/>
      <c r="BL34" s="65" t="n"/>
      <c r="BM34" s="65" t="n"/>
      <c r="BN34" s="65" t="n"/>
      <c r="BO34" s="65" t="n"/>
      <c r="BP34" s="65" t="n"/>
      <c r="BQ34" s="65" t="n"/>
      <c r="BR34" s="65" t="n"/>
      <c r="BS34" s="65" t="n"/>
      <c r="BT34" s="65" t="n"/>
      <c r="BU34" s="65" t="n"/>
      <c r="BV34" s="65" t="n"/>
      <c r="BW34" s="65" t="n"/>
      <c r="BX34" s="65" t="n"/>
      <c r="BY34" s="65" t="n"/>
      <c r="BZ34" s="66" t="n"/>
      <c r="CA34" s="66" t="n"/>
    </row>
    <row r="35" ht="18" customHeight="1">
      <c r="A35" s="61" t="inlineStr">
        <is>
          <t>meta-llama/Llama-3.2-3B-Instruct</t>
        </is>
      </c>
      <c r="B35" s="62" t="inlineStr">
        <is>
          <t>Meta</t>
        </is>
      </c>
      <c r="C35" s="62" t="inlineStr">
        <is>
          <t>llama.cpp</t>
        </is>
      </c>
      <c r="D35" s="62" t="inlineStr">
        <is>
          <t>Q4_K_M</t>
        </is>
      </c>
      <c r="E35" s="62" t="inlineStr">
        <is>
          <t>3.2B</t>
        </is>
      </c>
      <c r="F35" s="62" t="inlineStr">
        <is>
          <t>131k</t>
        </is>
      </c>
      <c r="G35" s="63" t="n"/>
      <c r="H35" s="62" t="inlineStr">
        <is>
          <t>Untested</t>
        </is>
      </c>
      <c r="I35" s="64">
        <f>IFERROR((COUNTIF(K35:BY35,"✅")+0.5*COUNTIF(K35:BY35,"⚠️"))/(COUNTIF(K35:BY35,"✅")+COUNTIF(K35:BY35,"⚠️")+COUNTIF(K35:BY35,"❌")),"")</f>
        <v/>
      </c>
      <c r="J35" s="63">
        <f>COUNTIF(K35:BY35,"✅")+COUNTIF(K35:BY35,"⚠️")+COUNTIF(K35:BY35,"❌")+COUNTIF(K35:BY35,"➖")</f>
        <v/>
      </c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5" t="n"/>
      <c r="AG35" s="65" t="n"/>
      <c r="AH35" s="65" t="n"/>
      <c r="AI35" s="65" t="n"/>
      <c r="AJ35" s="65" t="n"/>
      <c r="AK35" s="65" t="n"/>
      <c r="AL35" s="65" t="n"/>
      <c r="AM35" s="65" t="n"/>
      <c r="AN35" s="65" t="n"/>
      <c r="AO35" s="65" t="n"/>
      <c r="AP35" s="65" t="n"/>
      <c r="AQ35" s="65" t="n"/>
      <c r="AR35" s="65" t="n"/>
      <c r="AS35" s="65" t="n"/>
      <c r="AT35" s="65" t="n"/>
      <c r="AU35" s="65" t="n"/>
      <c r="AV35" s="65" t="n"/>
      <c r="AW35" s="65" t="n"/>
      <c r="AX35" s="65" t="n"/>
      <c r="AY35" s="65" t="n"/>
      <c r="AZ35" s="65" t="n"/>
      <c r="BA35" s="65" t="n"/>
      <c r="BB35" s="65" t="n"/>
      <c r="BC35" s="65" t="n"/>
      <c r="BD35" s="65" t="n"/>
      <c r="BE35" s="65" t="n"/>
      <c r="BF35" s="65" t="n"/>
      <c r="BG35" s="65" t="n"/>
      <c r="BH35" s="65" t="n"/>
      <c r="BI35" s="65" t="n"/>
      <c r="BJ35" s="65" t="n"/>
      <c r="BK35" s="65" t="n"/>
      <c r="BL35" s="65" t="n"/>
      <c r="BM35" s="65" t="n"/>
      <c r="BN35" s="65" t="n"/>
      <c r="BO35" s="65" t="n"/>
      <c r="BP35" s="65" t="n"/>
      <c r="BQ35" s="65" t="n"/>
      <c r="BR35" s="65" t="n"/>
      <c r="BS35" s="65" t="n"/>
      <c r="BT35" s="65" t="n"/>
      <c r="BU35" s="65" t="n"/>
      <c r="BV35" s="65" t="n"/>
      <c r="BW35" s="65" t="n"/>
      <c r="BX35" s="65" t="n"/>
      <c r="BY35" s="65" t="n"/>
      <c r="BZ35" s="66" t="n"/>
      <c r="CA35" s="66" t="n"/>
    </row>
    <row r="36" ht="18" customHeight="1">
      <c r="A36" s="61" t="inlineStr">
        <is>
          <t>mistralai/Devstral-Small-2507</t>
        </is>
      </c>
      <c r="B36" s="62" t="inlineStr">
        <is>
          <t>Mistral</t>
        </is>
      </c>
      <c r="C36" s="62" t="inlineStr">
        <is>
          <t>llama.cpp</t>
        </is>
      </c>
      <c r="D36" s="62" t="inlineStr">
        <is>
          <t>Q4_K_M</t>
        </is>
      </c>
      <c r="E36" s="62" t="inlineStr">
        <is>
          <t>23.6B</t>
        </is>
      </c>
      <c r="F36" s="62" t="inlineStr">
        <is>
          <t>131k</t>
        </is>
      </c>
      <c r="G36" s="63" t="n"/>
      <c r="H36" s="62" t="inlineStr">
        <is>
          <t>Untested</t>
        </is>
      </c>
      <c r="I36" s="64">
        <f>IFERROR((COUNTIF(K36:BY36,"✅")+0.5*COUNTIF(K36:BY36,"⚠️"))/(COUNTIF(K36:BY36,"✅")+COUNTIF(K36:BY36,"⚠️")+COUNTIF(K36:BY36,"❌")),"")</f>
        <v/>
      </c>
      <c r="J36" s="63">
        <f>COUNTIF(K36:BY36,"✅")+COUNTIF(K36:BY36,"⚠️")+COUNTIF(K36:BY36,"❌")+COUNTIF(K36:BY36,"➖")</f>
        <v/>
      </c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  <c r="BN36" s="65" t="n"/>
      <c r="BO36" s="65" t="n"/>
      <c r="BP36" s="65" t="n"/>
      <c r="BQ36" s="65" t="n"/>
      <c r="BR36" s="65" t="n"/>
      <c r="BS36" s="65" t="n"/>
      <c r="BT36" s="65" t="n"/>
      <c r="BU36" s="65" t="n"/>
      <c r="BV36" s="65" t="n"/>
      <c r="BW36" s="65" t="n"/>
      <c r="BX36" s="65" t="n"/>
      <c r="BY36" s="65" t="n"/>
      <c r="BZ36" s="66" t="n"/>
      <c r="CA36" s="66" t="n"/>
    </row>
    <row r="37" ht="18" customHeight="1">
      <c r="A37" s="61" t="inlineStr">
        <is>
          <t>mistralai/Mistral-Small-24B-Instruct-2501</t>
        </is>
      </c>
      <c r="B37" s="62" t="inlineStr">
        <is>
          <t>Mistral</t>
        </is>
      </c>
      <c r="C37" s="62" t="inlineStr">
        <is>
          <t>llama.cpp</t>
        </is>
      </c>
      <c r="D37" s="62" t="inlineStr">
        <is>
          <t>Q4_K_M</t>
        </is>
      </c>
      <c r="E37" s="62" t="inlineStr">
        <is>
          <t>24B</t>
        </is>
      </c>
      <c r="F37" s="62" t="inlineStr">
        <is>
          <t>33k</t>
        </is>
      </c>
      <c r="G37" s="63" t="n"/>
      <c r="H37" s="62" t="inlineStr">
        <is>
          <t>Untested</t>
        </is>
      </c>
      <c r="I37" s="64">
        <f>IFERROR((COUNTIF(K37:BY37,"✅")+0.5*COUNTIF(K37:BY37,"⚠️"))/(COUNTIF(K37:BY37,"✅")+COUNTIF(K37:BY37,"⚠️")+COUNTIF(K37:BY37,"❌")),"")</f>
        <v/>
      </c>
      <c r="J37" s="63">
        <f>COUNTIF(K37:BY37,"✅")+COUNTIF(K37:BY37,"⚠️")+COUNTIF(K37:BY37,"❌")+COUNTIF(K37:BY37,"➖")</f>
        <v/>
      </c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65" t="n"/>
      <c r="AH37" s="65" t="n"/>
      <c r="AI37" s="65" t="n"/>
      <c r="AJ37" s="65" t="n"/>
      <c r="AK37" s="65" t="n"/>
      <c r="AL37" s="65" t="n"/>
      <c r="AM37" s="65" t="n"/>
      <c r="AN37" s="65" t="n"/>
      <c r="AO37" s="65" t="n"/>
      <c r="AP37" s="65" t="n"/>
      <c r="AQ37" s="65" t="n"/>
      <c r="AR37" s="65" t="n"/>
      <c r="AS37" s="65" t="n"/>
      <c r="AT37" s="65" t="n"/>
      <c r="AU37" s="65" t="n"/>
      <c r="AV37" s="65" t="n"/>
      <c r="AW37" s="65" t="n"/>
      <c r="AX37" s="65" t="n"/>
      <c r="AY37" s="65" t="n"/>
      <c r="AZ37" s="65" t="n"/>
      <c r="BA37" s="65" t="n"/>
      <c r="BB37" s="65" t="n"/>
      <c r="BC37" s="65" t="n"/>
      <c r="BD37" s="65" t="n"/>
      <c r="BE37" s="65" t="n"/>
      <c r="BF37" s="65" t="n"/>
      <c r="BG37" s="65" t="n"/>
      <c r="BH37" s="65" t="n"/>
      <c r="BI37" s="65" t="n"/>
      <c r="BJ37" s="65" t="n"/>
      <c r="BK37" s="65" t="n"/>
      <c r="BL37" s="65" t="n"/>
      <c r="BM37" s="65" t="n"/>
      <c r="BN37" s="65" t="n"/>
      <c r="BO37" s="65" t="n"/>
      <c r="BP37" s="65" t="n"/>
      <c r="BQ37" s="65" t="n"/>
      <c r="BR37" s="65" t="n"/>
      <c r="BS37" s="65" t="n"/>
      <c r="BT37" s="65" t="n"/>
      <c r="BU37" s="65" t="n"/>
      <c r="BV37" s="65" t="n"/>
      <c r="BW37" s="65" t="n"/>
      <c r="BX37" s="65" t="n"/>
      <c r="BY37" s="65" t="n"/>
      <c r="BZ37" s="66" t="n"/>
      <c r="CA37" s="66" t="n"/>
    </row>
    <row r="38" ht="18" customHeight="1">
      <c r="A38" s="61" t="inlineStr">
        <is>
          <t>mistralai/Mistral-Nemo-Instruct-2407</t>
        </is>
      </c>
      <c r="B38" s="62" t="inlineStr">
        <is>
          <t>Mistral</t>
        </is>
      </c>
      <c r="C38" s="62" t="inlineStr">
        <is>
          <t>llama.cpp</t>
        </is>
      </c>
      <c r="D38" s="62" t="inlineStr">
        <is>
          <t>Q4_K_M</t>
        </is>
      </c>
      <c r="E38" s="62" t="inlineStr">
        <is>
          <t>12.2B</t>
        </is>
      </c>
      <c r="F38" s="62" t="inlineStr">
        <is>
          <t>131k</t>
        </is>
      </c>
      <c r="G38" s="63" t="n"/>
      <c r="H38" s="62" t="inlineStr">
        <is>
          <t>Untested</t>
        </is>
      </c>
      <c r="I38" s="64">
        <f>IFERROR((COUNTIF(K38:BY38,"✅")+0.5*COUNTIF(K38:BY38,"⚠️"))/(COUNTIF(K38:BY38,"✅")+COUNTIF(K38:BY38,"⚠️")+COUNTIF(K38:BY38,"❌")),"")</f>
        <v/>
      </c>
      <c r="J38" s="63">
        <f>COUNTIF(K38:BY38,"✅")+COUNTIF(K38:BY38,"⚠️")+COUNTIF(K38:BY38,"❌")+COUNTIF(K38:BY38,"➖")</f>
        <v/>
      </c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65" t="n"/>
      <c r="AG38" s="65" t="n"/>
      <c r="AH38" s="65" t="n"/>
      <c r="AI38" s="65" t="n"/>
      <c r="AJ38" s="65" t="n"/>
      <c r="AK38" s="65" t="n"/>
      <c r="AL38" s="65" t="n"/>
      <c r="AM38" s="65" t="n"/>
      <c r="AN38" s="65" t="n"/>
      <c r="AO38" s="65" t="n"/>
      <c r="AP38" s="65" t="n"/>
      <c r="AQ38" s="65" t="n"/>
      <c r="AR38" s="65" t="n"/>
      <c r="AS38" s="65" t="n"/>
      <c r="AT38" s="65" t="n"/>
      <c r="AU38" s="65" t="n"/>
      <c r="AV38" s="65" t="n"/>
      <c r="AW38" s="65" t="n"/>
      <c r="AX38" s="65" t="n"/>
      <c r="AY38" s="65" t="n"/>
      <c r="AZ38" s="65" t="n"/>
      <c r="BA38" s="65" t="n"/>
      <c r="BB38" s="65" t="n"/>
      <c r="BC38" s="65" t="n"/>
      <c r="BD38" s="65" t="n"/>
      <c r="BE38" s="65" t="n"/>
      <c r="BF38" s="65" t="n"/>
      <c r="BG38" s="65" t="n"/>
      <c r="BH38" s="65" t="n"/>
      <c r="BI38" s="65" t="n"/>
      <c r="BJ38" s="65" t="n"/>
      <c r="BK38" s="65" t="n"/>
      <c r="BL38" s="65" t="n"/>
      <c r="BM38" s="65" t="n"/>
      <c r="BN38" s="65" t="n"/>
      <c r="BO38" s="65" t="n"/>
      <c r="BP38" s="65" t="n"/>
      <c r="BQ38" s="65" t="n"/>
      <c r="BR38" s="65" t="n"/>
      <c r="BS38" s="65" t="n"/>
      <c r="BT38" s="65" t="n"/>
      <c r="BU38" s="65" t="n"/>
      <c r="BV38" s="65" t="n"/>
      <c r="BW38" s="65" t="n"/>
      <c r="BX38" s="65" t="n"/>
      <c r="BY38" s="65" t="n"/>
      <c r="BZ38" s="66" t="n"/>
      <c r="CA38" s="66" t="n"/>
    </row>
    <row r="39" ht="18" customHeight="1">
      <c r="A39" s="61" t="inlineStr">
        <is>
          <t>mistralai/Mistral-7B-Instruct-v0.3</t>
        </is>
      </c>
      <c r="B39" s="62" t="inlineStr">
        <is>
          <t>Mistral</t>
        </is>
      </c>
      <c r="C39" s="62" t="inlineStr">
        <is>
          <t>llama.cpp</t>
        </is>
      </c>
      <c r="D39" s="62" t="inlineStr">
        <is>
          <t>Q4_K_M</t>
        </is>
      </c>
      <c r="E39" s="62" t="inlineStr">
        <is>
          <t>7.2B</t>
        </is>
      </c>
      <c r="F39" s="62" t="inlineStr">
        <is>
          <t>33k</t>
        </is>
      </c>
      <c r="G39" s="63" t="n"/>
      <c r="H39" s="62" t="inlineStr">
        <is>
          <t>Untested</t>
        </is>
      </c>
      <c r="I39" s="64">
        <f>IFERROR((COUNTIF(K39:BY39,"✅")+0.5*COUNTIF(K39:BY39,"⚠️"))/(COUNTIF(K39:BY39,"✅")+COUNTIF(K39:BY39,"⚠️")+COUNTIF(K39:BY39,"❌")),"")</f>
        <v/>
      </c>
      <c r="J39" s="63">
        <f>COUNTIF(K39:BY39,"✅")+COUNTIF(K39:BY39,"⚠️")+COUNTIF(K39:BY39,"❌")+COUNTIF(K39:BY39,"➖")</f>
        <v/>
      </c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65" t="n"/>
      <c r="AG39" s="65" t="n"/>
      <c r="AH39" s="65" t="n"/>
      <c r="AI39" s="65" t="n"/>
      <c r="AJ39" s="65" t="n"/>
      <c r="AK39" s="65" t="n"/>
      <c r="AL39" s="65" t="n"/>
      <c r="AM39" s="65" t="n"/>
      <c r="AN39" s="65" t="n"/>
      <c r="AO39" s="65" t="n"/>
      <c r="AP39" s="65" t="n"/>
      <c r="AQ39" s="65" t="n"/>
      <c r="AR39" s="65" t="n"/>
      <c r="AS39" s="65" t="n"/>
      <c r="AT39" s="65" t="n"/>
      <c r="AU39" s="65" t="n"/>
      <c r="AV39" s="65" t="n"/>
      <c r="AW39" s="65" t="n"/>
      <c r="AX39" s="65" t="n"/>
      <c r="AY39" s="65" t="n"/>
      <c r="AZ39" s="65" t="n"/>
      <c r="BA39" s="65" t="n"/>
      <c r="BB39" s="65" t="n"/>
      <c r="BC39" s="65" t="n"/>
      <c r="BD39" s="65" t="n"/>
      <c r="BE39" s="65" t="n"/>
      <c r="BF39" s="65" t="n"/>
      <c r="BG39" s="65" t="n"/>
      <c r="BH39" s="65" t="n"/>
      <c r="BI39" s="65" t="n"/>
      <c r="BJ39" s="65" t="n"/>
      <c r="BK39" s="65" t="n"/>
      <c r="BL39" s="65" t="n"/>
      <c r="BM39" s="65" t="n"/>
      <c r="BN39" s="65" t="n"/>
      <c r="BO39" s="65" t="n"/>
      <c r="BP39" s="65" t="n"/>
      <c r="BQ39" s="65" t="n"/>
      <c r="BR39" s="65" t="n"/>
      <c r="BS39" s="65" t="n"/>
      <c r="BT39" s="65" t="n"/>
      <c r="BU39" s="65" t="n"/>
      <c r="BV39" s="65" t="n"/>
      <c r="BW39" s="65" t="n"/>
      <c r="BX39" s="65" t="n"/>
      <c r="BY39" s="65" t="n"/>
      <c r="BZ39" s="66" t="n"/>
      <c r="CA39" s="66" t="n"/>
    </row>
    <row r="40" ht="18" customHeight="1">
      <c r="A40" s="61" t="inlineStr">
        <is>
          <t>deepseek-ai/DeepSeek-R1-Distill-Qwen-32B</t>
        </is>
      </c>
      <c r="B40" s="62" t="inlineStr">
        <is>
          <t>DeepSeek</t>
        </is>
      </c>
      <c r="C40" s="62" t="inlineStr">
        <is>
          <t>llama.cpp</t>
        </is>
      </c>
      <c r="D40" s="62" t="inlineStr">
        <is>
          <t>Q4_K_M</t>
        </is>
      </c>
      <c r="E40" s="62" t="inlineStr">
        <is>
          <t>32.8B</t>
        </is>
      </c>
      <c r="F40" s="62" t="inlineStr">
        <is>
          <t>131k</t>
        </is>
      </c>
      <c r="G40" s="63" t="n"/>
      <c r="H40" s="62" t="inlineStr">
        <is>
          <t>Untested</t>
        </is>
      </c>
      <c r="I40" s="64">
        <f>IFERROR((COUNTIF(K40:BY40,"✅")+0.5*COUNTIF(K40:BY40,"⚠️"))/(COUNTIF(K40:BY40,"✅")+COUNTIF(K40:BY40,"⚠️")+COUNTIF(K40:BY40,"❌")),"")</f>
        <v/>
      </c>
      <c r="J40" s="63">
        <f>COUNTIF(K40:BY40,"✅")+COUNTIF(K40:BY40,"⚠️")+COUNTIF(K40:BY40,"❌")+COUNTIF(K40:BY40,"➖")</f>
        <v/>
      </c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  <c r="BN40" s="65" t="n"/>
      <c r="BO40" s="65" t="n"/>
      <c r="BP40" s="65" t="n"/>
      <c r="BQ40" s="65" t="n"/>
      <c r="BR40" s="65" t="n"/>
      <c r="BS40" s="65" t="n"/>
      <c r="BT40" s="65" t="n"/>
      <c r="BU40" s="65" t="n"/>
      <c r="BV40" s="65" t="n"/>
      <c r="BW40" s="65" t="n"/>
      <c r="BX40" s="65" t="n"/>
      <c r="BY40" s="65" t="n"/>
      <c r="BZ40" s="66" t="n"/>
      <c r="CA40" s="66" t="n"/>
    </row>
    <row r="41" ht="18" customHeight="1">
      <c r="A41" s="61" t="inlineStr">
        <is>
          <t>deepseek-ai/DeepSeek-R1-0528-Qwen3-8B</t>
        </is>
      </c>
      <c r="B41" s="62" t="inlineStr">
        <is>
          <t>DeepSeek</t>
        </is>
      </c>
      <c r="C41" s="62" t="inlineStr">
        <is>
          <t>llama.cpp</t>
        </is>
      </c>
      <c r="D41" s="62" t="inlineStr">
        <is>
          <t>Q4_K_M</t>
        </is>
      </c>
      <c r="E41" s="62" t="inlineStr">
        <is>
          <t>8.2B</t>
        </is>
      </c>
      <c r="F41" s="62" t="inlineStr">
        <is>
          <t>131k</t>
        </is>
      </c>
      <c r="G41" s="63" t="n"/>
      <c r="H41" s="62" t="inlineStr">
        <is>
          <t>Untested</t>
        </is>
      </c>
      <c r="I41" s="64">
        <f>IFERROR((COUNTIF(K41:BY41,"✅")+0.5*COUNTIF(K41:BY41,"⚠️"))/(COUNTIF(K41:BY41,"✅")+COUNTIF(K41:BY41,"⚠️")+COUNTIF(K41:BY41,"❌")),"")</f>
        <v/>
      </c>
      <c r="J41" s="63">
        <f>COUNTIF(K41:BY41,"✅")+COUNTIF(K41:BY41,"⚠️")+COUNTIF(K41:BY41,"❌")+COUNTIF(K41:BY41,"➖")</f>
        <v/>
      </c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  <c r="AA41" s="65" t="n"/>
      <c r="AB41" s="65" t="n"/>
      <c r="AC41" s="65" t="n"/>
      <c r="AD41" s="65" t="n"/>
      <c r="AE41" s="65" t="n"/>
      <c r="AF41" s="65" t="n"/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 t="n"/>
      <c r="AW41" s="65" t="n"/>
      <c r="AX41" s="65" t="n"/>
      <c r="AY41" s="65" t="n"/>
      <c r="AZ41" s="65" t="n"/>
      <c r="BA41" s="65" t="n"/>
      <c r="BB41" s="65" t="n"/>
      <c r="BC41" s="65" t="n"/>
      <c r="BD41" s="65" t="n"/>
      <c r="BE41" s="65" t="n"/>
      <c r="BF41" s="65" t="n"/>
      <c r="BG41" s="65" t="n"/>
      <c r="BH41" s="65" t="n"/>
      <c r="BI41" s="65" t="n"/>
      <c r="BJ41" s="65" t="n"/>
      <c r="BK41" s="65" t="n"/>
      <c r="BL41" s="65" t="n"/>
      <c r="BM41" s="65" t="n"/>
      <c r="BN41" s="65" t="n"/>
      <c r="BO41" s="65" t="n"/>
      <c r="BP41" s="65" t="n"/>
      <c r="BQ41" s="65" t="n"/>
      <c r="BR41" s="65" t="n"/>
      <c r="BS41" s="65" t="n"/>
      <c r="BT41" s="65" t="n"/>
      <c r="BU41" s="65" t="n"/>
      <c r="BV41" s="65" t="n"/>
      <c r="BW41" s="65" t="n"/>
      <c r="BX41" s="65" t="n"/>
      <c r="BY41" s="65" t="n"/>
      <c r="BZ41" s="66" t="n"/>
      <c r="CA41" s="66" t="n"/>
    </row>
    <row r="42" ht="18" customHeight="1">
      <c r="A42" s="61" t="inlineStr">
        <is>
          <t>microsoft/Phi-4-reasoning</t>
        </is>
      </c>
      <c r="B42" s="62" t="inlineStr">
        <is>
          <t>Microsoft</t>
        </is>
      </c>
      <c r="C42" s="62" t="inlineStr">
        <is>
          <t>llama.cpp</t>
        </is>
      </c>
      <c r="D42" s="62" t="inlineStr">
        <is>
          <t>Q4_K_M</t>
        </is>
      </c>
      <c r="E42" s="62" t="inlineStr">
        <is>
          <t>14B</t>
        </is>
      </c>
      <c r="F42" s="62" t="inlineStr">
        <is>
          <t>33k</t>
        </is>
      </c>
      <c r="G42" s="63" t="n"/>
      <c r="H42" s="62" t="inlineStr">
        <is>
          <t>Untested</t>
        </is>
      </c>
      <c r="I42" s="64">
        <f>IFERROR((COUNTIF(K42:BY42,"✅")+0.5*COUNTIF(K42:BY42,"⚠️"))/(COUNTIF(K42:BY42,"✅")+COUNTIF(K42:BY42,"⚠️")+COUNTIF(K42:BY42,"❌")),"")</f>
        <v/>
      </c>
      <c r="J42" s="63">
        <f>COUNTIF(K42:BY42,"✅")+COUNTIF(K42:BY42,"⚠️")+COUNTIF(K42:BY42,"❌")+COUNTIF(K42:BY42,"➖")</f>
        <v/>
      </c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  <c r="AA42" s="65" t="n"/>
      <c r="AB42" s="65" t="n"/>
      <c r="AC42" s="65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 t="n"/>
      <c r="AW42" s="65" t="n"/>
      <c r="AX42" s="65" t="n"/>
      <c r="AY42" s="65" t="n"/>
      <c r="AZ42" s="65" t="n"/>
      <c r="BA42" s="65" t="n"/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  <c r="BN42" s="65" t="n"/>
      <c r="BO42" s="65" t="n"/>
      <c r="BP42" s="65" t="n"/>
      <c r="BQ42" s="65" t="n"/>
      <c r="BR42" s="65" t="n"/>
      <c r="BS42" s="65" t="n"/>
      <c r="BT42" s="65" t="n"/>
      <c r="BU42" s="65" t="n"/>
      <c r="BV42" s="65" t="n"/>
      <c r="BW42" s="65" t="n"/>
      <c r="BX42" s="65" t="n"/>
      <c r="BY42" s="65" t="n"/>
      <c r="BZ42" s="66" t="n"/>
      <c r="CA42" s="66" t="n"/>
    </row>
    <row r="43" ht="18" customHeight="1">
      <c r="A43" s="61" t="inlineStr">
        <is>
          <t>nvidia/NVIDIA-Nemotron-3-Nano-30B-A3B</t>
        </is>
      </c>
      <c r="B43" s="62" t="inlineStr">
        <is>
          <t>NVIDIA</t>
        </is>
      </c>
      <c r="C43" s="62" t="inlineStr">
        <is>
          <t>llama.cpp</t>
        </is>
      </c>
      <c r="D43" s="62" t="inlineStr">
        <is>
          <t>Q4_K_M</t>
        </is>
      </c>
      <c r="E43" s="62" t="inlineStr">
        <is>
          <t>31.6B</t>
        </is>
      </c>
      <c r="F43" s="62" t="inlineStr">
        <is>
          <t>262k</t>
        </is>
      </c>
      <c r="G43" s="63" t="n"/>
      <c r="H43" s="62" t="inlineStr">
        <is>
          <t>Untested</t>
        </is>
      </c>
      <c r="I43" s="64">
        <f>IFERROR((COUNTIF(K43:BY43,"✅")+0.5*COUNTIF(K43:BY43,"⚠️"))/(COUNTIF(K43:BY43,"✅")+COUNTIF(K43:BY43,"⚠️")+COUNTIF(K43:BY43,"❌")),"")</f>
        <v/>
      </c>
      <c r="J43" s="63">
        <f>COUNTIF(K43:BY43,"✅")+COUNTIF(K43:BY43,"⚠️")+COUNTIF(K43:BY43,"❌")+COUNTIF(K43:BY43,"➖")</f>
        <v/>
      </c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  <c r="AA43" s="65" t="n"/>
      <c r="AB43" s="65" t="n"/>
      <c r="AC43" s="65" t="n"/>
      <c r="AD43" s="65" t="n"/>
      <c r="AE43" s="65" t="n"/>
      <c r="AF43" s="65" t="n"/>
      <c r="AG43" s="65" t="n"/>
      <c r="AH43" s="65" t="n"/>
      <c r="AI43" s="65" t="n"/>
      <c r="AJ43" s="65" t="n"/>
      <c r="AK43" s="65" t="n"/>
      <c r="AL43" s="65" t="n"/>
      <c r="AM43" s="65" t="n"/>
      <c r="AN43" s="65" t="n"/>
      <c r="AO43" s="65" t="n"/>
      <c r="AP43" s="65" t="n"/>
      <c r="AQ43" s="65" t="n"/>
      <c r="AR43" s="65" t="n"/>
      <c r="AS43" s="65" t="n"/>
      <c r="AT43" s="65" t="n"/>
      <c r="AU43" s="65" t="n"/>
      <c r="AV43" s="65" t="n"/>
      <c r="AW43" s="65" t="n"/>
      <c r="AX43" s="65" t="n"/>
      <c r="AY43" s="65" t="n"/>
      <c r="AZ43" s="65" t="n"/>
      <c r="BA43" s="65" t="n"/>
      <c r="BB43" s="65" t="n"/>
      <c r="BC43" s="65" t="n"/>
      <c r="BD43" s="65" t="n"/>
      <c r="BE43" s="65" t="n"/>
      <c r="BF43" s="65" t="n"/>
      <c r="BG43" s="65" t="n"/>
      <c r="BH43" s="65" t="n"/>
      <c r="BI43" s="65" t="n"/>
      <c r="BJ43" s="65" t="n"/>
      <c r="BK43" s="65" t="n"/>
      <c r="BL43" s="65" t="n"/>
      <c r="BM43" s="65" t="n"/>
      <c r="BN43" s="65" t="n"/>
      <c r="BO43" s="65" t="n"/>
      <c r="BP43" s="65" t="n"/>
      <c r="BQ43" s="65" t="n"/>
      <c r="BR43" s="65" t="n"/>
      <c r="BS43" s="65" t="n"/>
      <c r="BT43" s="65" t="n"/>
      <c r="BU43" s="65" t="n"/>
      <c r="BV43" s="65" t="n"/>
      <c r="BW43" s="65" t="n"/>
      <c r="BX43" s="65" t="n"/>
      <c r="BY43" s="65" t="n"/>
      <c r="BZ43" s="66" t="n"/>
      <c r="CA43" s="66" t="n"/>
    </row>
    <row r="44" ht="18" customHeight="1">
      <c r="A44" s="61" t="inlineStr">
        <is>
          <t>NousResearch/Hermes-3-Llama-3.1-8B</t>
        </is>
      </c>
      <c r="B44" s="62" t="inlineStr">
        <is>
          <t>Nous</t>
        </is>
      </c>
      <c r="C44" s="62" t="inlineStr">
        <is>
          <t>llama.cpp</t>
        </is>
      </c>
      <c r="D44" s="62" t="inlineStr">
        <is>
          <t>Q4_K_M</t>
        </is>
      </c>
      <c r="E44" s="62" t="inlineStr">
        <is>
          <t>8B</t>
        </is>
      </c>
      <c r="F44" s="62" t="inlineStr">
        <is>
          <t>131k</t>
        </is>
      </c>
      <c r="G44" s="63" t="n"/>
      <c r="H44" s="62" t="inlineStr">
        <is>
          <t>Untested</t>
        </is>
      </c>
      <c r="I44" s="64">
        <f>IFERROR((COUNTIF(K44:BY44,"✅")+0.5*COUNTIF(K44:BY44,"⚠️"))/(COUNTIF(K44:BY44,"✅")+COUNTIF(K44:BY44,"⚠️")+COUNTIF(K44:BY44,"❌")),"")</f>
        <v/>
      </c>
      <c r="J44" s="63">
        <f>COUNTIF(K44:BY44,"✅")+COUNTIF(K44:BY44,"⚠️")+COUNTIF(K44:BY44,"❌")+COUNTIF(K44:BY44,"➖")</f>
        <v/>
      </c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  <c r="AA44" s="65" t="n"/>
      <c r="AB44" s="65" t="n"/>
      <c r="AC44" s="65" t="n"/>
      <c r="AD44" s="65" t="n"/>
      <c r="AE44" s="65" t="n"/>
      <c r="AF44" s="65" t="n"/>
      <c r="AG44" s="65" t="n"/>
      <c r="AH44" s="65" t="n"/>
      <c r="AI44" s="65" t="n"/>
      <c r="AJ44" s="65" t="n"/>
      <c r="AK44" s="65" t="n"/>
      <c r="AL44" s="65" t="n"/>
      <c r="AM44" s="65" t="n"/>
      <c r="AN44" s="65" t="n"/>
      <c r="AO44" s="65" t="n"/>
      <c r="AP44" s="65" t="n"/>
      <c r="AQ44" s="65" t="n"/>
      <c r="AR44" s="65" t="n"/>
      <c r="AS44" s="65" t="n"/>
      <c r="AT44" s="65" t="n"/>
      <c r="AU44" s="65" t="n"/>
      <c r="AV44" s="65" t="n"/>
      <c r="AW44" s="65" t="n"/>
      <c r="AX44" s="65" t="n"/>
      <c r="AY44" s="65" t="n"/>
      <c r="AZ44" s="65" t="n"/>
      <c r="BA44" s="65" t="n"/>
      <c r="BB44" s="65" t="n"/>
      <c r="BC44" s="65" t="n"/>
      <c r="BD44" s="65" t="n"/>
      <c r="BE44" s="65" t="n"/>
      <c r="BF44" s="65" t="n"/>
      <c r="BG44" s="65" t="n"/>
      <c r="BH44" s="65" t="n"/>
      <c r="BI44" s="65" t="n"/>
      <c r="BJ44" s="65" t="n"/>
      <c r="BK44" s="65" t="n"/>
      <c r="BL44" s="65" t="n"/>
      <c r="BM44" s="65" t="n"/>
      <c r="BN44" s="65" t="n"/>
      <c r="BO44" s="65" t="n"/>
      <c r="BP44" s="65" t="n"/>
      <c r="BQ44" s="65" t="n"/>
      <c r="BR44" s="65" t="n"/>
      <c r="BS44" s="65" t="n"/>
      <c r="BT44" s="65" t="n"/>
      <c r="BU44" s="65" t="n"/>
      <c r="BV44" s="65" t="n"/>
      <c r="BW44" s="65" t="n"/>
      <c r="BX44" s="65" t="n"/>
      <c r="BY44" s="65" t="n"/>
      <c r="BZ44" s="66" t="n"/>
      <c r="CA44" s="66" t="n"/>
    </row>
    <row r="45" ht="18" customHeight="1">
      <c r="A45" s="61" t="inlineStr">
        <is>
          <t>ByteDance/Seed-OSS-36B-Instruct</t>
        </is>
      </c>
      <c r="B45" s="62" t="inlineStr">
        <is>
          <t>ByteDance</t>
        </is>
      </c>
      <c r="C45" s="62" t="inlineStr">
        <is>
          <t>llama.cpp</t>
        </is>
      </c>
      <c r="D45" s="62" t="inlineStr">
        <is>
          <t>Q4_K_M</t>
        </is>
      </c>
      <c r="E45" s="62" t="inlineStr">
        <is>
          <t>36.2B</t>
        </is>
      </c>
      <c r="F45" s="62" t="inlineStr">
        <is>
          <t>524k</t>
        </is>
      </c>
      <c r="G45" s="63" t="n"/>
      <c r="H45" s="62" t="inlineStr">
        <is>
          <t>Untested</t>
        </is>
      </c>
      <c r="I45" s="64">
        <f>IFERROR((COUNTIF(K45:BY45,"✅")+0.5*COUNTIF(K45:BY45,"⚠️"))/(COUNTIF(K45:BY45,"✅")+COUNTIF(K45:BY45,"⚠️")+COUNTIF(K45:BY45,"❌")),"")</f>
        <v/>
      </c>
      <c r="J45" s="63">
        <f>COUNTIF(K45:BY45,"✅")+COUNTIF(K45:BY45,"⚠️")+COUNTIF(K45:BY45,"❌")+COUNTIF(K45:BY45,"➖")</f>
        <v/>
      </c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65" t="n"/>
      <c r="AO45" s="65" t="n"/>
      <c r="AP45" s="65" t="n"/>
      <c r="AQ45" s="65" t="n"/>
      <c r="AR45" s="65" t="n"/>
      <c r="AS45" s="65" t="n"/>
      <c r="AT45" s="65" t="n"/>
      <c r="AU45" s="65" t="n"/>
      <c r="AV45" s="65" t="n"/>
      <c r="AW45" s="65" t="n"/>
      <c r="AX45" s="65" t="n"/>
      <c r="AY45" s="65" t="n"/>
      <c r="AZ45" s="65" t="n"/>
      <c r="BA45" s="65" t="n"/>
      <c r="BB45" s="65" t="n"/>
      <c r="BC45" s="65" t="n"/>
      <c r="BD45" s="65" t="n"/>
      <c r="BE45" s="65" t="n"/>
      <c r="BF45" s="65" t="n"/>
      <c r="BG45" s="65" t="n"/>
      <c r="BH45" s="65" t="n"/>
      <c r="BI45" s="65" t="n"/>
      <c r="BJ45" s="65" t="n"/>
      <c r="BK45" s="65" t="n"/>
      <c r="BL45" s="65" t="n"/>
      <c r="BM45" s="65" t="n"/>
      <c r="BN45" s="65" t="n"/>
      <c r="BO45" s="65" t="n"/>
      <c r="BP45" s="65" t="n"/>
      <c r="BQ45" s="65" t="n"/>
      <c r="BR45" s="65" t="n"/>
      <c r="BS45" s="65" t="n"/>
      <c r="BT45" s="65" t="n"/>
      <c r="BU45" s="65" t="n"/>
      <c r="BV45" s="65" t="n"/>
      <c r="BW45" s="65" t="n"/>
      <c r="BX45" s="65" t="n"/>
      <c r="BY45" s="65" t="n"/>
      <c r="BZ45" s="66" t="n"/>
      <c r="CA45" s="66" t="n"/>
    </row>
    <row r="46" ht="18" customHeight="1">
      <c r="A46" s="61" t="inlineStr">
        <is>
          <t>allenai/Olmo-3-7B-Instruct</t>
        </is>
      </c>
      <c r="B46" s="62" t="inlineStr">
        <is>
          <t>AI2</t>
        </is>
      </c>
      <c r="C46" s="62" t="inlineStr">
        <is>
          <t>llama.cpp</t>
        </is>
      </c>
      <c r="D46" s="62" t="inlineStr">
        <is>
          <t>Q4_K_M</t>
        </is>
      </c>
      <c r="E46" s="62" t="inlineStr">
        <is>
          <t>7.3B</t>
        </is>
      </c>
      <c r="F46" s="62" t="inlineStr">
        <is>
          <t>66k</t>
        </is>
      </c>
      <c r="G46" s="63" t="n"/>
      <c r="H46" s="62" t="inlineStr">
        <is>
          <t>Untested</t>
        </is>
      </c>
      <c r="I46" s="64">
        <f>IFERROR((COUNTIF(K46:BY46,"✅")+0.5*COUNTIF(K46:BY46,"⚠️"))/(COUNTIF(K46:BY46,"✅")+COUNTIF(K46:BY46,"⚠️")+COUNTIF(K46:BY46,"❌")),"")</f>
        <v/>
      </c>
      <c r="J46" s="63">
        <f>COUNTIF(K46:BY46,"✅")+COUNTIF(K46:BY46,"⚠️")+COUNTIF(K46:BY46,"❌")+COUNTIF(K46:BY46,"➖")</f>
        <v/>
      </c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  <c r="BN46" s="65" t="n"/>
      <c r="BO46" s="65" t="n"/>
      <c r="BP46" s="65" t="n"/>
      <c r="BQ46" s="65" t="n"/>
      <c r="BR46" s="65" t="n"/>
      <c r="BS46" s="65" t="n"/>
      <c r="BT46" s="65" t="n"/>
      <c r="BU46" s="65" t="n"/>
      <c r="BV46" s="65" t="n"/>
      <c r="BW46" s="65" t="n"/>
      <c r="BX46" s="65" t="n"/>
      <c r="BY46" s="65" t="n"/>
      <c r="BZ46" s="66" t="n"/>
      <c r="CA46" s="66" t="n"/>
    </row>
    <row r="47" ht="18" customHeight="1">
      <c r="A47" s="61" t="inlineStr">
        <is>
          <t>HuggingFaceTB/SmolLM3-3B</t>
        </is>
      </c>
      <c r="B47" s="62" t="inlineStr">
        <is>
          <t>HuggingFace</t>
        </is>
      </c>
      <c r="C47" s="62" t="inlineStr">
        <is>
          <t>llama.cpp</t>
        </is>
      </c>
      <c r="D47" s="62" t="inlineStr">
        <is>
          <t>Q4_K_M</t>
        </is>
      </c>
      <c r="E47" s="62" t="inlineStr">
        <is>
          <t>3B</t>
        </is>
      </c>
      <c r="F47" s="62" t="inlineStr">
        <is>
          <t>131k</t>
        </is>
      </c>
      <c r="G47" s="63" t="n"/>
      <c r="H47" s="62" t="inlineStr">
        <is>
          <t>Untested</t>
        </is>
      </c>
      <c r="I47" s="64">
        <f>IFERROR((COUNTIF(K47:BY47,"✅")+0.5*COUNTIF(K47:BY47,"⚠️"))/(COUNTIF(K47:BY47,"✅")+COUNTIF(K47:BY47,"⚠️")+COUNTIF(K47:BY47,"❌")),"")</f>
        <v/>
      </c>
      <c r="J47" s="63">
        <f>COUNTIF(K47:BY47,"✅")+COUNTIF(K47:BY47,"⚠️")+COUNTIF(K47:BY47,"❌")+COUNTIF(K47:BY47,"➖")</f>
        <v/>
      </c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  <c r="AA47" s="65" t="n"/>
      <c r="AB47" s="65" t="n"/>
      <c r="AC47" s="65" t="n"/>
      <c r="AD47" s="65" t="n"/>
      <c r="AE47" s="65" t="n"/>
      <c r="AF47" s="65" t="n"/>
      <c r="AG47" s="65" t="n"/>
      <c r="AH47" s="65" t="n"/>
      <c r="AI47" s="65" t="n"/>
      <c r="AJ47" s="65" t="n"/>
      <c r="AK47" s="65" t="n"/>
      <c r="AL47" s="65" t="n"/>
      <c r="AM47" s="65" t="n"/>
      <c r="AN47" s="65" t="n"/>
      <c r="AO47" s="65" t="n"/>
      <c r="AP47" s="65" t="n"/>
      <c r="AQ47" s="65" t="n"/>
      <c r="AR47" s="65" t="n"/>
      <c r="AS47" s="65" t="n"/>
      <c r="AT47" s="65" t="n"/>
      <c r="AU47" s="65" t="n"/>
      <c r="AV47" s="65" t="n"/>
      <c r="AW47" s="65" t="n"/>
      <c r="AX47" s="65" t="n"/>
      <c r="AY47" s="65" t="n"/>
      <c r="AZ47" s="65" t="n"/>
      <c r="BA47" s="65" t="n"/>
      <c r="BB47" s="65" t="n"/>
      <c r="BC47" s="65" t="n"/>
      <c r="BD47" s="65" t="n"/>
      <c r="BE47" s="65" t="n"/>
      <c r="BF47" s="65" t="n"/>
      <c r="BG47" s="65" t="n"/>
      <c r="BH47" s="65" t="n"/>
      <c r="BI47" s="65" t="n"/>
      <c r="BJ47" s="65" t="n"/>
      <c r="BK47" s="65" t="n"/>
      <c r="BL47" s="65" t="n"/>
      <c r="BM47" s="65" t="n"/>
      <c r="BN47" s="65" t="n"/>
      <c r="BO47" s="65" t="n"/>
      <c r="BP47" s="65" t="n"/>
      <c r="BQ47" s="65" t="n"/>
      <c r="BR47" s="65" t="n"/>
      <c r="BS47" s="65" t="n"/>
      <c r="BT47" s="65" t="n"/>
      <c r="BU47" s="65" t="n"/>
      <c r="BV47" s="65" t="n"/>
      <c r="BW47" s="65" t="n"/>
      <c r="BX47" s="65" t="n"/>
      <c r="BY47" s="65" t="n"/>
      <c r="BZ47" s="66" t="n"/>
      <c r="CA47" s="66" t="n"/>
    </row>
    <row r="48" ht="18" customHeight="1">
      <c r="A48" s="61" t="inlineStr">
        <is>
          <t>LiquidAI/LFM2.5-1.2B-Instruct</t>
        </is>
      </c>
      <c r="B48" s="62" t="inlineStr">
        <is>
          <t>Liquid AI</t>
        </is>
      </c>
      <c r="C48" s="62" t="inlineStr">
        <is>
          <t>llama.cpp</t>
        </is>
      </c>
      <c r="D48" s="62" t="inlineStr">
        <is>
          <t>Q4_K_M</t>
        </is>
      </c>
      <c r="E48" s="62" t="inlineStr">
        <is>
          <t>1.2B</t>
        </is>
      </c>
      <c r="F48" s="62" t="inlineStr">
        <is>
          <t>128k</t>
        </is>
      </c>
      <c r="G48" s="63" t="n"/>
      <c r="H48" s="62" t="inlineStr">
        <is>
          <t>Untested</t>
        </is>
      </c>
      <c r="I48" s="64">
        <f>IFERROR((COUNTIF(K48:BY48,"✅")+0.5*COUNTIF(K48:BY48,"⚠️"))/(COUNTIF(K48:BY48,"✅")+COUNTIF(K48:BY48,"⚠️")+COUNTIF(K48:BY48,"❌")),"")</f>
        <v/>
      </c>
      <c r="J48" s="63">
        <f>COUNTIF(K48:BY48,"✅")+COUNTIF(K48:BY48,"⚠️")+COUNTIF(K48:BY48,"❌")+COUNTIF(K48:BY48,"➖")</f>
        <v/>
      </c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 t="n"/>
      <c r="AW48" s="65" t="n"/>
      <c r="AX48" s="65" t="n"/>
      <c r="AY48" s="65" t="n"/>
      <c r="AZ48" s="65" t="n"/>
      <c r="BA48" s="65" t="n"/>
      <c r="BB48" s="65" t="n"/>
      <c r="BC48" s="65" t="n"/>
      <c r="BD48" s="65" t="n"/>
      <c r="BE48" s="65" t="n"/>
      <c r="BF48" s="65" t="n"/>
      <c r="BG48" s="65" t="n"/>
      <c r="BH48" s="65" t="n"/>
      <c r="BI48" s="65" t="n"/>
      <c r="BJ48" s="65" t="n"/>
      <c r="BK48" s="65" t="n"/>
      <c r="BL48" s="65" t="n"/>
      <c r="BM48" s="65" t="n"/>
      <c r="BN48" s="65" t="n"/>
      <c r="BO48" s="65" t="n"/>
      <c r="BP48" s="65" t="n"/>
      <c r="BQ48" s="65" t="n"/>
      <c r="BR48" s="65" t="n"/>
      <c r="BS48" s="65" t="n"/>
      <c r="BT48" s="65" t="n"/>
      <c r="BU48" s="65" t="n"/>
      <c r="BV48" s="65" t="n"/>
      <c r="BW48" s="65" t="n"/>
      <c r="BX48" s="65" t="n"/>
      <c r="BY48" s="65" t="n"/>
      <c r="BZ48" s="66" t="n"/>
      <c r="CA48" s="66" t="n"/>
    </row>
  </sheetData>
  <autoFilter ref="A3:CA48"/>
  <mergeCells count="14">
    <mergeCell ref="U2:Z2"/>
    <mergeCell ref="AJ2:AL2"/>
    <mergeCell ref="AP2:AV2"/>
    <mergeCell ref="BG2:BI2"/>
    <mergeCell ref="AW2:BA2"/>
    <mergeCell ref="AB2:AC2"/>
    <mergeCell ref="BJ2:BR2"/>
    <mergeCell ref="BB2:BF2"/>
    <mergeCell ref="BZ2:CA2"/>
    <mergeCell ref="AD2:AH2"/>
    <mergeCell ref="A2:J2"/>
    <mergeCell ref="BS2:BY2"/>
    <mergeCell ref="K2:T2"/>
    <mergeCell ref="AM2:AO2"/>
  </mergeCells>
  <conditionalFormatting sqref="K5:BY48">
    <cfRule type="cellIs" priority="1" operator="equal" dxfId="0">
      <formula>"✅"</formula>
    </cfRule>
    <cfRule type="cellIs" priority="2" operator="equal" dxfId="1">
      <formula>"⚠️"</formula>
    </cfRule>
    <cfRule type="cellIs" priority="3" operator="equal" dxfId="2">
      <formula>"❌"</formula>
    </cfRule>
    <cfRule type="cellIs" priority="4" operator="equal" dxfId="3">
      <formula>"➖"</formula>
    </cfRule>
  </conditionalFormatting>
  <conditionalFormatting sqref="H5:H48">
    <cfRule type="cellIs" priority="5" operator="equal" dxfId="4">
      <formula>"Works"</formula>
    </cfRule>
    <cfRule type="cellIs" priority="6" operator="equal" dxfId="5">
      <formula>"Works with caveats"</formula>
    </cfRule>
    <cfRule type="cellIs" priority="7" operator="equal" dxfId="5">
      <formula>"Partial"</formula>
    </cfRule>
    <cfRule type="cellIs" priority="8" operator="equal" dxfId="6">
      <formula>"Unusable"</formula>
    </cfRule>
    <cfRule type="cellIs" priority="9" operator="equal" dxfId="7">
      <formula>"Untested"</formula>
    </cfRule>
  </conditionalFormatting>
  <dataValidations count="2">
    <dataValidation sqref="K4:BY48" showDropDown="0" showInputMessage="0" showErrorMessage="0" allowBlank="1" promptTitle="Result" prompt="✅ works  |  ⚠️ partial  |  ❌ broken  |  ➖ not applicable  |  blank = untested" type="list">
      <formula1>"✅,⚠️,❌,➖"</formula1>
    </dataValidation>
    <dataValidation sqref="H4:H48" showDropDown="0" showInputMessage="0" showErrorMessage="0" allowBlank="1" type="list">
      <formula1>"Works,Works with caveats,Partial,Unusable,Untested"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4" customWidth="1" min="8" max="8"/>
  </cols>
  <sheetData>
    <row r="2">
      <c r="B2" s="11" t="inlineStr">
        <is>
          <t>Coverage summary</t>
        </is>
      </c>
    </row>
    <row r="3">
      <c r="B3" s="12" t="inlineStr">
        <is>
          <t>Counts update automatically from the three sheets.</t>
        </is>
      </c>
    </row>
    <row r="5">
      <c r="B5" s="67" t="inlineStr">
        <is>
          <t>Sheet</t>
        </is>
      </c>
      <c r="C5" s="67" t="inlineStr">
        <is>
          <t>Models</t>
        </is>
      </c>
      <c r="D5" s="67" t="inlineStr">
        <is>
          <t>Tested</t>
        </is>
      </c>
      <c r="E5" s="67" t="inlineStr">
        <is>
          <t>Works</t>
        </is>
      </c>
      <c r="F5" s="67" t="inlineStr">
        <is>
          <t>With caveats</t>
        </is>
      </c>
      <c r="G5" s="67" t="inlineStr">
        <is>
          <t>Partial</t>
        </is>
      </c>
      <c r="H5" s="67" t="inlineStr">
        <is>
          <t>Unusable</t>
        </is>
      </c>
    </row>
    <row r="6">
      <c r="B6" s="68" t="inlineStr">
        <is>
          <t>Cloud</t>
        </is>
      </c>
      <c r="C6" s="63">
        <f>COUNTA('Cloud'!$A$5:$A$45)</f>
        <v/>
      </c>
      <c r="D6" s="63">
        <f>COUNTIF('Cloud'!$J$5:$J$45,"&gt;0")</f>
        <v/>
      </c>
      <c r="E6" s="63">
        <f>COUNTIF('Cloud'!$H$5:$H$45,"Works")</f>
        <v/>
      </c>
      <c r="F6" s="63">
        <f>COUNTIF('Cloud'!$H$5:$H$45,"Works with caveats")</f>
        <v/>
      </c>
      <c r="G6" s="63">
        <f>COUNTIF('Cloud'!$H$5:$H$45,"Partial")</f>
        <v/>
      </c>
      <c r="H6" s="63">
        <f>COUNTIF('Cloud'!$H$5:$H$45,"Unusable")</f>
        <v/>
      </c>
    </row>
    <row r="7">
      <c r="B7" s="68" t="inlineStr">
        <is>
          <t>LM Studio</t>
        </is>
      </c>
      <c r="C7" s="63">
        <f>COUNTA('LM Studio'!$A$5:$A$58)</f>
        <v/>
      </c>
      <c r="D7" s="63">
        <f>COUNTIF('LM Studio'!$J$5:$J$58,"&gt;0")</f>
        <v/>
      </c>
      <c r="E7" s="63">
        <f>COUNTIF('LM Studio'!$H$5:$H$58,"Works")</f>
        <v/>
      </c>
      <c r="F7" s="63">
        <f>COUNTIF('LM Studio'!$H$5:$H$58,"Works with caveats")</f>
        <v/>
      </c>
      <c r="G7" s="63">
        <f>COUNTIF('LM Studio'!$H$5:$H$58,"Partial")</f>
        <v/>
      </c>
      <c r="H7" s="63">
        <f>COUNTIF('LM Studio'!$H$5:$H$58,"Unusable")</f>
        <v/>
      </c>
    </row>
    <row r="8">
      <c r="B8" s="68" t="inlineStr">
        <is>
          <t>Minnow Hosting</t>
        </is>
      </c>
      <c r="C8" s="63">
        <f>COUNTA('Minnow Hosting'!$A$5:$A$48)</f>
        <v/>
      </c>
      <c r="D8" s="63">
        <f>COUNTIF('Minnow Hosting'!$J$5:$J$48,"&gt;0")</f>
        <v/>
      </c>
      <c r="E8" s="63">
        <f>COUNTIF('Minnow Hosting'!$H$5:$H$48,"Works")</f>
        <v/>
      </c>
      <c r="F8" s="63">
        <f>COUNTIF('Minnow Hosting'!$H$5:$H$48,"Works with caveats")</f>
        <v/>
      </c>
      <c r="G8" s="63">
        <f>COUNTIF('Minnow Hosting'!$H$5:$H$48,"Partial")</f>
        <v/>
      </c>
      <c r="H8" s="63">
        <f>COUNTIF('Minnow Hosting'!$H$5:$H$48,"Unusable")</f>
        <v/>
      </c>
    </row>
    <row r="9">
      <c r="B9" s="61" t="inlineStr">
        <is>
          <t>Total</t>
        </is>
      </c>
      <c r="C9" s="69">
        <f>SUM(C6:C8)</f>
        <v/>
      </c>
      <c r="D9" s="69">
        <f>SUM(D6:D8)</f>
        <v/>
      </c>
      <c r="E9" s="69">
        <f>SUM(E6:E8)</f>
        <v/>
      </c>
      <c r="F9" s="69">
        <f>SUM(F6:F8)</f>
        <v/>
      </c>
      <c r="G9" s="69">
        <f>SUM(G6:G8)</f>
        <v/>
      </c>
      <c r="H9" s="69">
        <f>SUM(H6:H8)</f>
        <v/>
      </c>
    </row>
    <row r="11">
      <c r="B11" s="70" t="inlineStr">
        <is>
          <t>'Tested' counts any model with at least one scored capability cell.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7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34" customWidth="1" min="3" max="3"/>
    <col width="7" customWidth="1" min="4" max="4"/>
    <col width="96" customWidth="1" min="5" max="5"/>
  </cols>
  <sheetData>
    <row r="2">
      <c r="B2" s="11" t="inlineStr">
        <is>
          <t>Test guide</t>
        </is>
      </c>
    </row>
    <row r="3">
      <c r="B3" s="12" t="inlineStr">
        <is>
          <t>One line per capability column, in sheet order. Same text as the header comments.</t>
        </is>
      </c>
    </row>
    <row r="5">
      <c r="B5" s="71" t="inlineStr">
        <is>
          <t>Group</t>
        </is>
      </c>
      <c r="C5" s="71" t="inlineStr">
        <is>
          <t>Column</t>
        </is>
      </c>
      <c r="D5" s="71" t="inlineStr">
        <is>
          <t>Tier</t>
        </is>
      </c>
      <c r="E5" s="71" t="inlineStr">
        <is>
          <t>How to test</t>
        </is>
      </c>
    </row>
    <row r="6" ht="28" customHeight="1">
      <c r="B6" s="72" t="inlineStr">
        <is>
          <t>Core protocol</t>
        </is>
      </c>
      <c r="C6" s="73" t="inlineStr">
        <is>
          <t>Streaming</t>
        </is>
      </c>
      <c r="D6" s="74" t="n">
        <v>1</v>
      </c>
      <c r="E6" s="66" t="inlineStr">
        <is>
          <t>Ask for a 200-word answer. Tokens must stream, not arrive in one block.</t>
        </is>
      </c>
    </row>
    <row r="7" ht="28" customHeight="1">
      <c r="B7" s="72" t="inlineStr">
        <is>
          <t>Core protocol</t>
        </is>
      </c>
      <c r="C7" s="73" t="inlineStr">
        <is>
          <t>Tool calling (basic)</t>
        </is>
      </c>
      <c r="D7" s="74" t="n">
        <v>1</v>
      </c>
      <c r="E7" s="66" t="inlineStr">
        <is>
          <t>Ask 'what time is it?' -&gt; must emit a get_datetime tool call, not prose.</t>
        </is>
      </c>
    </row>
    <row r="8" ht="28" customHeight="1">
      <c r="B8" s="72" t="inlineStr">
        <is>
          <t>Core protocol</t>
        </is>
      </c>
      <c r="C8" s="73" t="inlineStr">
        <is>
          <t>Parallel tool calls</t>
        </is>
      </c>
      <c r="D8" s="74" t="n">
        <v>2</v>
      </c>
      <c r="E8" s="66" t="inlineStr">
        <is>
          <t>Ask to read three named files at once. Does it emit 3 calls in one batch, or serialise?</t>
        </is>
      </c>
    </row>
    <row r="9" ht="28" customHeight="1">
      <c r="B9" s="72" t="inlineStr">
        <is>
          <t>Core protocol</t>
        </is>
      </c>
      <c r="C9" s="73" t="inlineStr">
        <is>
          <t>Multi-step tool loop</t>
        </is>
      </c>
      <c r="D9" s="74" t="n">
        <v>1</v>
      </c>
      <c r="E9" s="66" t="inlineStr">
        <is>
          <t>Ask a task needing 4+ chained calls (grep -&gt; read -&gt; edit -&gt; verify). Does it keep going after each result?</t>
        </is>
      </c>
    </row>
    <row r="10" ht="28" customHeight="1">
      <c r="B10" s="72" t="inlineStr">
        <is>
          <t>Core protocol</t>
        </is>
      </c>
      <c r="C10" s="73" t="inlineStr">
        <is>
          <t>Valid JSON args</t>
        </is>
      </c>
      <c r="D10" s="74" t="n">
        <v>1</v>
      </c>
      <c r="E10" s="66" t="inlineStr">
        <is>
          <t>Watch the tool console for parse failures, trailing commas, stringified objects, missing required args.</t>
        </is>
      </c>
    </row>
    <row r="11" ht="28" customHeight="1">
      <c r="B11" s="72" t="inlineStr">
        <is>
          <t>Core protocol</t>
        </is>
      </c>
      <c r="C11" s="73" t="inlineStr">
        <is>
          <t>No hallucinated tools</t>
        </is>
      </c>
      <c r="D11" s="74" t="n">
        <v>1</v>
      </c>
      <c r="E11" s="66" t="inlineStr">
        <is>
          <t>Does it ever invent a tool name that is not in the catalog, or call a tool disabled in this mode?</t>
        </is>
      </c>
    </row>
    <row r="12" ht="28" customHeight="1">
      <c r="B12" s="72" t="inlineStr">
        <is>
          <t>Core protocol</t>
        </is>
      </c>
      <c r="C12" s="73" t="inlineStr">
        <is>
          <t>System prompt adherence</t>
        </is>
      </c>
      <c r="D12" s="74" t="n">
        <v>1</v>
      </c>
      <c r="E12" s="66" t="inlineStr">
        <is>
          <t>Does it follow the mode prompt (no preamble, correct output shape, respects guardrails)?</t>
        </is>
      </c>
    </row>
    <row r="13" ht="28" customHeight="1">
      <c r="B13" s="72" t="inlineStr">
        <is>
          <t>Core protocol</t>
        </is>
      </c>
      <c r="C13" s="73" t="inlineStr">
        <is>
          <t>Long context &gt;32k</t>
        </is>
      </c>
      <c r="D13" s="74" t="n">
        <v>2</v>
      </c>
      <c r="E13" s="66" t="inlineStr">
        <is>
          <t>Load a big file / long chat, then ask about something from the start. Check for silent truncation.</t>
        </is>
      </c>
    </row>
    <row r="14" ht="28" customHeight="1">
      <c r="B14" s="72" t="inlineStr">
        <is>
          <t>Core protocol</t>
        </is>
      </c>
      <c r="C14" s="73" t="inlineStr">
        <is>
          <t>Vision / image input</t>
        </is>
      </c>
      <c r="D14" s="74" t="n">
        <v>3</v>
      </c>
      <c r="E14" s="66" t="inlineStr">
        <is>
          <t>Paste a screenshot and ask what is in it.</t>
        </is>
      </c>
    </row>
    <row r="15" ht="28" customHeight="1">
      <c r="B15" s="72" t="inlineStr">
        <is>
          <t>Core protocol</t>
        </is>
      </c>
      <c r="C15" s="73" t="inlineStr">
        <is>
          <t>Reasoning / thinking</t>
        </is>
      </c>
      <c r="D15" s="74" t="n">
        <v>3</v>
      </c>
      <c r="E15" s="66" t="inlineStr">
        <is>
          <t>Does the thinking block parse and render, without leaking into the visible answer or breaking tool calls?</t>
        </is>
      </c>
    </row>
    <row r="16" ht="28" customHeight="1">
      <c r="B16" s="75" t="inlineStr">
        <is>
          <t>Files</t>
        </is>
      </c>
      <c r="C16" s="73" t="inlineStr">
        <is>
          <t>list_directory / read_file</t>
        </is>
      </c>
      <c r="D16" s="74" t="n">
        <v>1</v>
      </c>
      <c r="E16" s="66" t="inlineStr">
        <is>
          <t>'List the files in src and read package.json.'</t>
        </is>
      </c>
    </row>
    <row r="17" ht="28" customHeight="1">
      <c r="B17" s="75" t="inlineStr">
        <is>
          <t>Files</t>
        </is>
      </c>
      <c r="C17" s="73" t="inlineStr">
        <is>
          <t>read_document</t>
        </is>
      </c>
      <c r="D17" s="74" t="n">
        <v>3</v>
      </c>
      <c r="E17" s="66" t="inlineStr">
        <is>
          <t>Point it at a PDF/DOCX in the workspace and ask for a summary.</t>
        </is>
      </c>
    </row>
    <row r="18" ht="28" customHeight="1">
      <c r="B18" s="75" t="inlineStr">
        <is>
          <t>Files</t>
        </is>
      </c>
      <c r="C18" s="73" t="inlineStr">
        <is>
          <t>save_file / append_file</t>
        </is>
      </c>
      <c r="D18" s="74" t="n">
        <v>1</v>
      </c>
      <c r="E18" s="66" t="inlineStr">
        <is>
          <t>'Create notes.md with three bullets, then append a fourth.'</t>
        </is>
      </c>
    </row>
    <row r="19" ht="28" customHeight="1">
      <c r="B19" s="75" t="inlineStr">
        <is>
          <t>Files</t>
        </is>
      </c>
      <c r="C19" s="73" t="inlineStr">
        <is>
          <t>replace_text_in_file</t>
        </is>
      </c>
      <c r="D19" s="74" t="n">
        <v>1</v>
      </c>
      <c r="E19" s="66" t="inlineStr">
        <is>
          <t>Ask for a precise edit. The old_string must match exactly - this is where weak models fail hardest.</t>
        </is>
      </c>
    </row>
    <row r="20" ht="28" customHeight="1">
      <c r="B20" s="75" t="inlineStr">
        <is>
          <t>Files</t>
        </is>
      </c>
      <c r="C20" s="73" t="inlineStr">
        <is>
          <t>insert_at_line / read_file_range</t>
        </is>
      </c>
      <c r="D20" s="74" t="n">
        <v>2</v>
      </c>
      <c r="E20" s="66" t="inlineStr">
        <is>
          <t>'Read lines 40-60 of X, then insert a comment at line 41.'</t>
        </is>
      </c>
    </row>
    <row r="21" ht="28" customHeight="1">
      <c r="B21" s="75" t="inlineStr">
        <is>
          <t>Files</t>
        </is>
      </c>
      <c r="C21" s="73" t="inlineStr">
        <is>
          <t>grep / find_files</t>
        </is>
      </c>
      <c r="D21" s="74" t="n">
        <v>1</v>
      </c>
      <c r="E21" s="66" t="inlineStr">
        <is>
          <t>'Find every file that mentions BUILT_IN_TOOLS.'</t>
        </is>
      </c>
    </row>
    <row r="22" ht="28" customHeight="1">
      <c r="B22" s="76" t="inlineStr">
        <is>
          <t>Docs</t>
        </is>
      </c>
      <c r="C22" s="73" t="inlineStr">
        <is>
          <t>create_pdf / spreadsheet / word</t>
        </is>
      </c>
      <c r="D22" s="74" t="n">
        <v>3</v>
      </c>
      <c r="E22" s="66" t="inlineStr">
        <is>
          <t>'Make me a spreadsheet of the last 5 commits.' Check the file actually opens.</t>
        </is>
      </c>
    </row>
    <row r="23" ht="28" customHeight="1">
      <c r="B23" s="77" t="inlineStr">
        <is>
          <t>Git</t>
        </is>
      </c>
      <c r="C23" s="73" t="inlineStr">
        <is>
          <t>git_status / diff / log (read)</t>
        </is>
      </c>
      <c r="D23" s="74" t="n">
        <v>1</v>
      </c>
      <c r="E23" s="66" t="inlineStr">
        <is>
          <t>'What has changed on this branch?'</t>
        </is>
      </c>
    </row>
    <row r="24" ht="28" customHeight="1">
      <c r="B24" s="77" t="inlineStr">
        <is>
          <t>Git</t>
        </is>
      </c>
      <c r="C24" s="73" t="inlineStr">
        <is>
          <t>git_add / commit / branch (write)</t>
        </is>
      </c>
      <c r="D24" s="74" t="n">
        <v>2</v>
      </c>
      <c r="E24" s="66" t="inlineStr">
        <is>
          <t>'Commit the current changes on a new branch.' Check the message quality and that it does not force anything.</t>
        </is>
      </c>
    </row>
    <row r="25" ht="28" customHeight="1">
      <c r="B25" s="78" t="inlineStr">
        <is>
          <t>Code &amp; shell</t>
        </is>
      </c>
      <c r="C25" s="73" t="inlineStr">
        <is>
          <t>execute_command</t>
        </is>
      </c>
      <c r="D25" s="74" t="n">
        <v>1</v>
      </c>
      <c r="E25" s="66" t="inlineStr">
        <is>
          <t>'Run npm run typecheck and tell me what broke.'</t>
        </is>
      </c>
    </row>
    <row r="26" ht="28" customHeight="1">
      <c r="B26" s="78" t="inlineStr">
        <is>
          <t>Code &amp; shell</t>
        </is>
      </c>
      <c r="C26" s="73" t="inlineStr">
        <is>
          <t>Background cmds / dev servers</t>
        </is>
      </c>
      <c r="D26" s="74" t="n">
        <v>2</v>
      </c>
      <c r="E26" s="66" t="inlineStr">
        <is>
          <t>'Start the dev server and tell me when it is listening.'</t>
        </is>
      </c>
    </row>
    <row r="27" ht="28" customHeight="1">
      <c r="B27" s="78" t="inlineStr">
        <is>
          <t>Code &amp; shell</t>
        </is>
      </c>
      <c r="C27" s="73" t="inlineStr">
        <is>
          <t>run_javascript / run_python</t>
        </is>
      </c>
      <c r="D27" s="74" t="n">
        <v>2</v>
      </c>
      <c r="E27" s="66" t="inlineStr">
        <is>
          <t>'Work out the mean of these 20 numbers with run_python.'</t>
        </is>
      </c>
    </row>
    <row r="28" ht="28" customHeight="1">
      <c r="B28" s="78" t="inlineStr">
        <is>
          <t>Code &amp; shell</t>
        </is>
      </c>
      <c r="C28" s="73" t="inlineStr">
        <is>
          <t>read_command_log / stop_command</t>
        </is>
      </c>
      <c r="D28" s="74" t="n">
        <v>2</v>
      </c>
      <c r="E28" s="66" t="inlineStr">
        <is>
          <t>After a long command: 'What is it printing? Now stop it.'</t>
        </is>
      </c>
    </row>
    <row r="29" ht="28" customHeight="1">
      <c r="B29" s="78" t="inlineStr">
        <is>
          <t>Code &amp; shell</t>
        </is>
      </c>
      <c r="C29" s="73" t="inlineStr">
        <is>
          <t>Code intel (repo_map, find_symbol)</t>
        </is>
      </c>
      <c r="D29" s="74" t="n">
        <v>2</v>
      </c>
      <c r="E29" s="66" t="inlineStr">
        <is>
          <t>'Where is formatCapabilityBadges defined and who calls it?'</t>
        </is>
      </c>
    </row>
    <row r="30" ht="28" customHeight="1">
      <c r="B30" s="76" t="inlineStr">
        <is>
          <t>LSP</t>
        </is>
      </c>
      <c r="C30" s="73" t="inlineStr">
        <is>
          <t>get_lsp_diagnostics / list_lsp_servers</t>
        </is>
      </c>
      <c r="D30" s="74" t="n">
        <v>3</v>
      </c>
      <c r="E30" s="66" t="inlineStr">
        <is>
          <t>Break a type on purpose, then: 'Any diagnostics in this file?'</t>
        </is>
      </c>
    </row>
    <row r="31" ht="28" customHeight="1">
      <c r="B31" s="79" t="inlineStr">
        <is>
          <t>Web</t>
        </is>
      </c>
      <c r="C31" s="73" t="inlineStr">
        <is>
          <t>web_search</t>
        </is>
      </c>
      <c r="D31" s="74" t="n">
        <v>1</v>
      </c>
      <c r="E31" s="66" t="inlineStr">
        <is>
          <t>'Search the web for the latest llama.cpp release.'</t>
        </is>
      </c>
    </row>
    <row r="32" ht="28" customHeight="1">
      <c r="B32" s="79" t="inlineStr">
        <is>
          <t>Web</t>
        </is>
      </c>
      <c r="C32" s="73" t="inlineStr">
        <is>
          <t>fetch_web_content / rag_web_content</t>
        </is>
      </c>
      <c r="D32" s="74" t="n">
        <v>2</v>
      </c>
      <c r="E32" s="66" t="inlineStr">
        <is>
          <t>Give it a URL and ask for a summary of that page.</t>
        </is>
      </c>
    </row>
    <row r="33" ht="28" customHeight="1">
      <c r="B33" s="79" t="inlineStr">
        <is>
          <t>Web</t>
        </is>
      </c>
      <c r="C33" s="73" t="inlineStr">
        <is>
          <t>wikipedia_search</t>
        </is>
      </c>
      <c r="D33" s="74" t="n">
        <v>3</v>
      </c>
      <c r="E33" s="66" t="inlineStr">
        <is>
          <t>'Look up the Mariana Trench on Wikipedia.'</t>
        </is>
      </c>
    </row>
    <row r="34" ht="28" customHeight="1">
      <c r="B34" s="80" t="inlineStr">
        <is>
          <t>Browser</t>
        </is>
      </c>
      <c r="C34" s="73" t="inlineStr">
        <is>
          <t>navigate / tabs</t>
        </is>
      </c>
      <c r="D34" s="74" t="n">
        <v>2</v>
      </c>
      <c r="E34" s="66" t="inlineStr">
        <is>
          <t>'Open example.com in a new tab, then list my tabs.'</t>
        </is>
      </c>
    </row>
    <row r="35" ht="28" customHeight="1">
      <c r="B35" s="80" t="inlineStr">
        <is>
          <t>Browser</t>
        </is>
      </c>
      <c r="C35" s="73" t="inlineStr">
        <is>
          <t>snapshot / click / fill</t>
        </is>
      </c>
      <c r="D35" s="74" t="n">
        <v>2</v>
      </c>
      <c r="E35" s="66" t="inlineStr">
        <is>
          <t>'Snapshot the page, fill the search box with foo and submit.' Does it use the returned refs correctly?</t>
        </is>
      </c>
    </row>
    <row r="36" ht="28" customHeight="1">
      <c r="B36" s="80" t="inlineStr">
        <is>
          <t>Browser</t>
        </is>
      </c>
      <c r="C36" s="73" t="inlineStr">
        <is>
          <t>eval / screenshot</t>
        </is>
      </c>
      <c r="D36" s="74" t="n">
        <v>3</v>
      </c>
      <c r="E36" s="66" t="inlineStr">
        <is>
          <t>'Screenshot the page and tell me the computed background colour.'</t>
        </is>
      </c>
    </row>
    <row r="37" ht="28" customHeight="1">
      <c r="B37" s="81" t="inlineStr">
        <is>
          <t>Agents &amp; tasks</t>
        </is>
      </c>
      <c r="C37" s="73" t="inlineStr">
        <is>
          <t>todo_write</t>
        </is>
      </c>
      <c r="D37" s="74" t="n">
        <v>1</v>
      </c>
      <c r="E37" s="66" t="inlineStr">
        <is>
          <t>Give a 5-step task. Does it build a todo list and keep it current, or write it once and forget?</t>
        </is>
      </c>
    </row>
    <row r="38" ht="28" customHeight="1">
      <c r="B38" s="81" t="inlineStr">
        <is>
          <t>Agents &amp; tasks</t>
        </is>
      </c>
      <c r="C38" s="73" t="inlineStr">
        <is>
          <t>spawn_sub_agent</t>
        </is>
      </c>
      <c r="D38" s="74" t="n">
        <v>2</v>
      </c>
      <c r="E38" s="66" t="inlineStr">
        <is>
          <t>'Spawn a sub-agent to audit src/tools and report back.'</t>
        </is>
      </c>
    </row>
    <row r="39" ht="28" customHeight="1">
      <c r="B39" s="81" t="inlineStr">
        <is>
          <t>Agents &amp; tasks</t>
        </is>
      </c>
      <c r="C39" s="73" t="inlineStr">
        <is>
          <t>list / get / cancel sub-agents</t>
        </is>
      </c>
      <c r="D39" s="74" t="n">
        <v>3</v>
      </c>
      <c r="E39" s="66" t="inlineStr">
        <is>
          <t>While one is running: 'What are my sub-agents doing? Cancel it.'</t>
        </is>
      </c>
    </row>
    <row r="40" ht="28" customHeight="1">
      <c r="B40" s="81" t="inlineStr">
        <is>
          <t>Agents &amp; tasks</t>
        </is>
      </c>
      <c r="C40" s="73" t="inlineStr">
        <is>
          <t>delegate_tasks</t>
        </is>
      </c>
      <c r="D40" s="74" t="n">
        <v>2</v>
      </c>
      <c r="E40" s="66" t="inlineStr">
        <is>
          <t>Give three independent chunks of work and ask it to fan them out.</t>
        </is>
      </c>
    </row>
    <row r="41" ht="28" customHeight="1">
      <c r="B41" s="81" t="inlineStr">
        <is>
          <t>Agents &amp; tasks</t>
        </is>
      </c>
      <c r="C41" s="73" t="inlineStr">
        <is>
          <t>board_init / board_update_task</t>
        </is>
      </c>
      <c r="D41" s="74" t="n">
        <v>2</v>
      </c>
      <c r="E41" s="66" t="inlineStr">
        <is>
          <t>In Orchestrate mode: does it seed the board and keep task states moving?</t>
        </is>
      </c>
    </row>
    <row r="42" ht="28" customHeight="1">
      <c r="B42" s="81" t="inlineStr">
        <is>
          <t>Agents &amp; tasks</t>
        </is>
      </c>
      <c r="C42" s="73" t="inlineStr">
        <is>
          <t>board_report / board_get_state</t>
        </is>
      </c>
      <c r="D42" s="74" t="n">
        <v>2</v>
      </c>
      <c r="E42" s="66" t="inlineStr">
        <is>
          <t>Does the worker report back on completion instead of going quiet? (known weak spot)</t>
        </is>
      </c>
    </row>
    <row r="43" ht="28" customHeight="1">
      <c r="B43" s="81" t="inlineStr">
        <is>
          <t>Agents &amp; tasks</t>
        </is>
      </c>
      <c r="C43" s="73" t="inlineStr">
        <is>
          <t>issue_* tools</t>
        </is>
      </c>
      <c r="D43" s="74" t="n">
        <v>3</v>
      </c>
      <c r="E43" s="66" t="inlineStr">
        <is>
          <t>'Log an issue for this bug, then link it to the previous one.'</t>
        </is>
      </c>
    </row>
    <row r="44" ht="28" customHeight="1">
      <c r="B44" s="82" t="inlineStr">
        <is>
          <t>Knowledge</t>
        </is>
      </c>
      <c r="C44" s="73" t="inlineStr">
        <is>
          <t>brain_search / read_page / list</t>
        </is>
      </c>
      <c r="D44" s="74" t="n">
        <v>2</v>
      </c>
      <c r="E44" s="66" t="inlineStr">
        <is>
          <t>'What does the Brain say about the session engine?'</t>
        </is>
      </c>
    </row>
    <row r="45" ht="28" customHeight="1">
      <c r="B45" s="82" t="inlineStr">
        <is>
          <t>Knowledge</t>
        </is>
      </c>
      <c r="C45" s="73" t="inlineStr">
        <is>
          <t>brain_write_page / append_log / ingest</t>
        </is>
      </c>
      <c r="D45" s="74" t="n">
        <v>3</v>
      </c>
      <c r="E45" s="66" t="inlineStr">
        <is>
          <t>'Write what we just learned to a Brain page.'</t>
        </is>
      </c>
    </row>
    <row r="46" ht="28" customHeight="1">
      <c r="B46" s="82" t="inlineStr">
        <is>
          <t>Knowledge</t>
        </is>
      </c>
      <c r="C46" s="73" t="inlineStr">
        <is>
          <t>minnow_docs_*</t>
        </is>
      </c>
      <c r="D46" s="74" t="n">
        <v>3</v>
      </c>
      <c r="E46" s="66" t="inlineStr">
        <is>
          <t>'How do Minnow modes work? Check the docs.'</t>
        </is>
      </c>
    </row>
    <row r="47" ht="28" customHeight="1">
      <c r="B47" s="82" t="inlineStr">
        <is>
          <t>Knowledge</t>
        </is>
      </c>
      <c r="C47" s="73" t="inlineStr">
        <is>
          <t>save_memory</t>
        </is>
      </c>
      <c r="D47" s="74" t="n">
        <v>2</v>
      </c>
      <c r="E47" s="66" t="inlineStr">
        <is>
          <t>'Remember that I always want tests run before commits.'</t>
        </is>
      </c>
    </row>
    <row r="48" ht="28" customHeight="1">
      <c r="B48" s="82" t="inlineStr">
        <is>
          <t>Knowledge</t>
        </is>
      </c>
      <c r="C48" s="73" t="inlineStr">
        <is>
          <t>recall_chat_context / recall_turn_full</t>
        </is>
      </c>
      <c r="D48" s="74" t="n">
        <v>2</v>
      </c>
      <c r="E48" s="66" t="inlineStr">
        <is>
          <t>Deep into a long chat: 'What did I ask you in the third message?'</t>
        </is>
      </c>
    </row>
    <row r="49" ht="28" customHeight="1">
      <c r="B49" s="83" t="inlineStr">
        <is>
          <t>Apps</t>
        </is>
      </c>
      <c r="C49" s="73" t="inlineStr">
        <is>
          <t>Email: list / search / get_thread</t>
        </is>
      </c>
      <c r="D49" s="74" t="n">
        <v>3</v>
      </c>
      <c r="E49" s="66" t="inlineStr">
        <is>
          <t>'Show me unread mail from this week.'</t>
        </is>
      </c>
    </row>
    <row r="50" ht="28" customHeight="1">
      <c r="B50" s="83" t="inlineStr">
        <is>
          <t>Apps</t>
        </is>
      </c>
      <c r="C50" s="73" t="inlineStr">
        <is>
          <t>Email: draft_reply / email_action</t>
        </is>
      </c>
      <c r="D50" s="74" t="n">
        <v>3</v>
      </c>
      <c r="E50" s="66" t="inlineStr">
        <is>
          <t>'Draft a reply to the top thread.' Must draft, never send.</t>
        </is>
      </c>
    </row>
    <row r="51" ht="28" customHeight="1">
      <c r="B51" s="83" t="inlineStr">
        <is>
          <t>Apps</t>
        </is>
      </c>
      <c r="C51" s="73" t="inlineStr">
        <is>
          <t>summarize_inbox / reply_variants</t>
        </is>
      </c>
      <c r="D51" s="74" t="n">
        <v>3</v>
      </c>
      <c r="E51" s="66" t="inlineStr">
        <is>
          <t>'Summarise my inbox and give me three reply options.'</t>
        </is>
      </c>
    </row>
    <row r="52" ht="28" customHeight="1">
      <c r="B52" s="83" t="inlineStr">
        <is>
          <t>Apps</t>
        </is>
      </c>
      <c r="C52" s="73" t="inlineStr">
        <is>
          <t>manage_calendar</t>
        </is>
      </c>
      <c r="D52" s="74" t="n">
        <v>3</v>
      </c>
      <c r="E52" s="66" t="inlineStr">
        <is>
          <t>'What is on my calendar tomorrow?'</t>
        </is>
      </c>
    </row>
    <row r="53" ht="28" customHeight="1">
      <c r="B53" s="83" t="inlineStr">
        <is>
          <t>Apps</t>
        </is>
      </c>
      <c r="C53" s="73" t="inlineStr">
        <is>
          <t>Settings &amp; appearance tools</t>
        </is>
      </c>
      <c r="D53" s="74" t="n">
        <v>3</v>
      </c>
      <c r="E53" s="66" t="inlineStr">
        <is>
          <t>'Switch me to the dark theme and raise the font size.'</t>
        </is>
      </c>
    </row>
    <row r="54" ht="28" customHeight="1">
      <c r="B54" s="84" t="inlineStr">
        <is>
          <t>Mode control</t>
        </is>
      </c>
      <c r="C54" s="73" t="inlineStr">
        <is>
          <t>set_chat_mode / propose_mode_switch</t>
        </is>
      </c>
      <c r="D54" s="74" t="n">
        <v>2</v>
      </c>
      <c r="E54" s="66" t="inlineStr">
        <is>
          <t>'This is turning into a build job - switch modes.'</t>
        </is>
      </c>
    </row>
    <row r="55" ht="28" customHeight="1">
      <c r="B55" s="84" t="inlineStr">
        <is>
          <t>Mode control</t>
        </is>
      </c>
      <c r="C55" s="73" t="inlineStr">
        <is>
          <t>create_chat_with_mode / launch app</t>
        </is>
      </c>
      <c r="D55" s="74" t="n">
        <v>3</v>
      </c>
      <c r="E55" s="66" t="inlineStr">
        <is>
          <t>'Open a new Plan chat about the release.'</t>
        </is>
      </c>
    </row>
    <row r="56" ht="28" customHeight="1">
      <c r="B56" s="84" t="inlineStr">
        <is>
          <t>Mode control</t>
        </is>
      </c>
      <c r="C56" s="73" t="inlineStr">
        <is>
          <t>Impeccable / aesthetics</t>
        </is>
      </c>
      <c r="D56" s="74" t="n">
        <v>3</v>
      </c>
      <c r="E56" s="66" t="inlineStr">
        <is>
          <t>'Make this page look better' - does it load the Impeccable context first?</t>
        </is>
      </c>
    </row>
    <row r="57" ht="28" customHeight="1">
      <c r="B57" s="85" t="inlineStr">
        <is>
          <t>Modes</t>
        </is>
      </c>
      <c r="C57" s="73" t="inlineStr">
        <is>
          <t>General</t>
        </is>
      </c>
      <c r="D57" s="74" t="n">
        <v>1</v>
      </c>
      <c r="E57" s="66" t="inlineStr">
        <is>
          <t>Plain chat. Sane answers, correct formatting, no runaway loops.</t>
        </is>
      </c>
    </row>
    <row r="58" ht="28" customHeight="1">
      <c r="B58" s="85" t="inlineStr">
        <is>
          <t>Modes</t>
        </is>
      </c>
      <c r="C58" s="73" t="inlineStr">
        <is>
          <t>Build</t>
        </is>
      </c>
      <c r="D58" s="74" t="n">
        <v>1</v>
      </c>
      <c r="E58" s="66" t="inlineStr">
        <is>
          <t>A real multi-file code change, start to finish.</t>
        </is>
      </c>
    </row>
    <row r="59" ht="28" customHeight="1">
      <c r="B59" s="85" t="inlineStr">
        <is>
          <t>Modes</t>
        </is>
      </c>
      <c r="C59" s="73" t="inlineStr">
        <is>
          <t>Plan</t>
        </is>
      </c>
      <c r="D59" s="74" t="n">
        <v>1</v>
      </c>
      <c r="E59" s="66" t="inlineStr">
        <is>
          <t>Ask for a plan. Does it respect the plan-write guard and not start editing?</t>
        </is>
      </c>
    </row>
    <row r="60" ht="28" customHeight="1">
      <c r="B60" s="85" t="inlineStr">
        <is>
          <t>Modes</t>
        </is>
      </c>
      <c r="C60" s="73" t="inlineStr">
        <is>
          <t>Super Plan</t>
        </is>
      </c>
      <c r="D60" s="74" t="n">
        <v>2</v>
      </c>
      <c r="E60" s="66" t="inlineStr">
        <is>
          <t>Run the full pipeline. Do all stages advance, and do pause/resume/retry/rewind survive?</t>
        </is>
      </c>
    </row>
    <row r="61" ht="28" customHeight="1">
      <c r="B61" s="85" t="inlineStr">
        <is>
          <t>Modes</t>
        </is>
      </c>
      <c r="C61" s="73" t="inlineStr">
        <is>
          <t>Orchestrate</t>
        </is>
      </c>
      <c r="D61" s="74" t="n">
        <v>2</v>
      </c>
      <c r="E61" s="66" t="inlineStr">
        <is>
          <t>Board-driven multi-agent run. Watch for silent stalls and missed completion reports.</t>
        </is>
      </c>
    </row>
    <row r="62" ht="28" customHeight="1">
      <c r="B62" s="85" t="inlineStr">
        <is>
          <t>Modes</t>
        </is>
      </c>
      <c r="C62" s="73" t="inlineStr">
        <is>
          <t>Debug</t>
        </is>
      </c>
      <c r="D62" s="74" t="n">
        <v>2</v>
      </c>
      <c r="E62" s="66" t="inlineStr">
        <is>
          <t>Hand it a failing test and let it work the loop.</t>
        </is>
      </c>
    </row>
    <row r="63" ht="28" customHeight="1">
      <c r="B63" s="85" t="inlineStr">
        <is>
          <t>Modes</t>
        </is>
      </c>
      <c r="C63" s="73" t="inlineStr">
        <is>
          <t>Desktop</t>
        </is>
      </c>
      <c r="D63" s="74" t="n">
        <v>3</v>
      </c>
      <c r="E63" s="66" t="inlineStr">
        <is>
          <t>OS-level task via the desktop tools.</t>
        </is>
      </c>
    </row>
    <row r="64" ht="28" customHeight="1">
      <c r="B64" s="85" t="inlineStr">
        <is>
          <t>Modes</t>
        </is>
      </c>
      <c r="C64" s="73" t="inlineStr">
        <is>
          <t>Email</t>
        </is>
      </c>
      <c r="D64" s="74" t="n">
        <v>3</v>
      </c>
      <c r="E64" s="66" t="inlineStr">
        <is>
          <t>Full email triage session.</t>
        </is>
      </c>
    </row>
    <row r="65" ht="28" customHeight="1">
      <c r="B65" s="85" t="inlineStr">
        <is>
          <t>Modes</t>
        </is>
      </c>
      <c r="C65" s="73" t="inlineStr">
        <is>
          <t>Onboarding</t>
        </is>
      </c>
      <c r="D65" s="74" t="n">
        <v>3</v>
      </c>
      <c r="E65" s="66" t="inlineStr">
        <is>
          <t>Run the onboarding guide chat end to end.</t>
        </is>
      </c>
    </row>
    <row r="66" ht="28" customHeight="1">
      <c r="B66" s="86" t="inlineStr">
        <is>
          <t>Features</t>
        </is>
      </c>
      <c r="C66" s="73" t="inlineStr">
        <is>
          <t>Research</t>
        </is>
      </c>
      <c r="D66" s="74" t="n">
        <v>2</v>
      </c>
      <c r="E66" s="66" t="inlineStr">
        <is>
          <t>Kick off a research run and check the sources and the write-up.</t>
        </is>
      </c>
    </row>
    <row r="67" ht="28" customHeight="1">
      <c r="B67" s="86" t="inlineStr">
        <is>
          <t>Features</t>
        </is>
      </c>
      <c r="C67" s="73" t="inlineStr">
        <is>
          <t>Compare</t>
        </is>
      </c>
      <c r="D67" s="74" t="n">
        <v>3</v>
      </c>
      <c r="E67" s="66" t="inlineStr">
        <is>
          <t>Run this model inside a Compare session against another.</t>
        </is>
      </c>
    </row>
    <row r="68" ht="28" customHeight="1">
      <c r="B68" s="86" t="inlineStr">
        <is>
          <t>Features</t>
        </is>
      </c>
      <c r="C68" s="73" t="inlineStr">
        <is>
          <t>Chat title generation</t>
        </is>
      </c>
      <c r="D68" s="74" t="n">
        <v>2</v>
      </c>
      <c r="E68" s="66" t="inlineStr">
        <is>
          <t>Does it title new chats sensibly, or emit JSON/preamble into the title?</t>
        </is>
      </c>
    </row>
    <row r="69" ht="28" customHeight="1">
      <c r="B69" s="86" t="inlineStr">
        <is>
          <t>Features</t>
        </is>
      </c>
      <c r="C69" s="73" t="inlineStr">
        <is>
          <t>Skills / plugins</t>
        </is>
      </c>
      <c r="D69" s="74" t="n">
        <v>2</v>
      </c>
      <c r="E69" s="66" t="inlineStr">
        <is>
          <t>Invoke a skill and confirm it loads and is followed.</t>
        </is>
      </c>
    </row>
    <row r="70" ht="28" customHeight="1">
      <c r="B70" s="86" t="inlineStr">
        <is>
          <t>Features</t>
        </is>
      </c>
      <c r="C70" s="73" t="inlineStr">
        <is>
          <t>MCP servers</t>
        </is>
      </c>
      <c r="D70" s="74" t="n">
        <v>2</v>
      </c>
      <c r="E70" s="66" t="inlineStr">
        <is>
          <t>Connect an MCP server and call one of its tools.</t>
        </is>
      </c>
    </row>
    <row r="71" ht="28" customHeight="1">
      <c r="B71" s="86" t="inlineStr">
        <is>
          <t>Features</t>
        </is>
      </c>
      <c r="C71" s="73" t="inlineStr">
        <is>
          <t>Voice</t>
        </is>
      </c>
      <c r="D71" s="74" t="n">
        <v>3</v>
      </c>
      <c r="E71" s="66" t="inlineStr">
        <is>
          <t>Dictate a request and check the round trip.</t>
        </is>
      </c>
    </row>
    <row r="72" ht="28" customHeight="1">
      <c r="B72" s="86" t="inlineStr">
        <is>
          <t>Features</t>
        </is>
      </c>
      <c r="C72" s="73" t="inlineStr">
        <is>
          <t>Markdown &amp; code fences</t>
        </is>
      </c>
      <c r="D72" s="74" t="n">
        <v>1</v>
      </c>
      <c r="E72" s="66" t="inlineStr">
        <is>
          <t>Are fences closed, languages tagged, tables well formed? Do file paths render as links?</t>
        </is>
      </c>
    </row>
  </sheetData>
  <autoFilter ref="B5:E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2026-08-10T22:05:26Z</dcterms:created>
  <dcterms:modified xmlns:dcterms="http://purl.org/dc/terms/" xmlns:xsi="http://www.w3.org/2001/XMLSchema-instance" xsi:type="dcterms:W3CDTF">2026-08-10T22:05:27Z</dcterms:modified>
</cp:coreProperties>
</file>